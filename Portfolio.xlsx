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s" sheetId="1" r:id="rId4"/>
    <sheet state="visible" name="Summary" sheetId="2" r:id="rId5"/>
    <sheet state="visible" name="Analysis" sheetId="3" r:id="rId6"/>
  </sheets>
  <definedNames>
    <definedName hidden="1" localSheetId="0" name="Z_97E6C769_0CD3_4946_B2DC_AC83EDABD452_.wvu.FilterData">Assets!$A$2:$A$62</definedName>
    <definedName name="CAPM_EXPECTED_RETURN">LAMBDA(0.034 + Assets!$D$21*(0.085-0.034))</definedName>
    <definedName name="SlicerCache_Table_1_Col_1">#N/A</definedName>
  </definedNames>
  <calcPr/>
  <customWorkbookViews>
    <customWorkbookView activeSheetId="0" maximized="1" windowHeight="0" windowWidth="0" guid="{97E6C769-0CD3-4946-B2DC-AC83EDABD452}" name="Filtro 1"/>
  </customWorkbookViews>
  <extLst>
    <ext uri="{46BE6895-7355-4a93-B00E-2C351335B9C9}">
      <x15:slicerCaches>
        <x14:slicerCache r:id="rId7"/>
      </x15:slicerCaches>
    </ext>
  </extLst>
</workbook>
</file>

<file path=xl/sharedStrings.xml><?xml version="1.0" encoding="utf-8"?>
<sst xmlns="http://schemas.openxmlformats.org/spreadsheetml/2006/main" count="104" uniqueCount="103">
  <si>
    <t>Asset Name</t>
  </si>
  <si>
    <t>Expected Return (%)</t>
  </si>
  <si>
    <t>Volatility (%)</t>
  </si>
  <si>
    <t>Beta</t>
  </si>
  <si>
    <t>Weight (%)</t>
  </si>
  <si>
    <t>Investment</t>
  </si>
  <si>
    <t>Columna 7</t>
  </si>
  <si>
    <t>CAPM Expected Return</t>
  </si>
  <si>
    <t>Variance</t>
  </si>
  <si>
    <t>Weights Squared</t>
  </si>
  <si>
    <t>Barclays</t>
  </si>
  <si>
    <t>DHT</t>
  </si>
  <si>
    <t>O (Realty Income Corp)</t>
  </si>
  <si>
    <t>Societe Generale (GLE.PA)</t>
  </si>
  <si>
    <t>NWG.L</t>
  </si>
  <si>
    <t>03993.HK (China Molybdenum Company)</t>
  </si>
  <si>
    <t>Acciona</t>
  </si>
  <si>
    <t>Citigroup</t>
  </si>
  <si>
    <t>Volkswagen</t>
  </si>
  <si>
    <t>Merlin Properties</t>
  </si>
  <si>
    <t>WBA</t>
  </si>
  <si>
    <t>BAC</t>
  </si>
  <si>
    <t>BNS</t>
  </si>
  <si>
    <t>2899.hk (Zijin Mining Group)</t>
  </si>
  <si>
    <t>T</t>
  </si>
  <si>
    <t>BMO</t>
  </si>
  <si>
    <t>ENB</t>
  </si>
  <si>
    <t>GILD</t>
  </si>
  <si>
    <t>IRS (Argentinian IRSA)</t>
  </si>
  <si>
    <t>TLT (iShares 20+ Year Treasuries ETF)</t>
  </si>
  <si>
    <t>Mapfre (MAP.MC)</t>
  </si>
  <si>
    <t>DOCS.L (Dr. Hopkins)</t>
  </si>
  <si>
    <t>Vodafone (US)</t>
  </si>
  <si>
    <t>SDGR</t>
  </si>
  <si>
    <t>Acerinox</t>
  </si>
  <si>
    <t>Renault</t>
  </si>
  <si>
    <t>Danone (BN.PA)</t>
  </si>
  <si>
    <t>Vodafone (British London Stock Exchange)</t>
  </si>
  <si>
    <t>Lloyd's (LLOY.L)</t>
  </si>
  <si>
    <t>BNP Paribas</t>
  </si>
  <si>
    <t>ENG.MC (Enagás)</t>
  </si>
  <si>
    <t>Repsol</t>
  </si>
  <si>
    <t>MP</t>
  </si>
  <si>
    <t>GLEN.L (Glencore)</t>
  </si>
  <si>
    <t>TD</t>
  </si>
  <si>
    <t>FCC.MC + IMC.MC (Inmocemento)</t>
  </si>
  <si>
    <t>TRMD-A.CO (Torm PLC)</t>
  </si>
  <si>
    <t>Unicaja</t>
  </si>
  <si>
    <t>Alibaba (9988.HK)</t>
  </si>
  <si>
    <t>OHLA.MC (OHL Spanish)</t>
  </si>
  <si>
    <t>Pfizer</t>
  </si>
  <si>
    <t>Telefonica (Spanish stock exchange)</t>
  </si>
  <si>
    <t>LYG (Lloyd's Banking)</t>
  </si>
  <si>
    <t>SDR.L (Schroders)</t>
  </si>
  <si>
    <t>SHEL Plc ADR</t>
  </si>
  <si>
    <t>ISP.MI (Intesa Sanpaolo)</t>
  </si>
  <si>
    <t>OXY</t>
  </si>
  <si>
    <t>P911.DE</t>
  </si>
  <si>
    <t>RIO</t>
  </si>
  <si>
    <t>KHC</t>
  </si>
  <si>
    <t>AGG (iShares Core US Aggregate Bond ETF)</t>
  </si>
  <si>
    <t>Akzo Nobel (AKZA.NV)</t>
  </si>
  <si>
    <t>PAAS</t>
  </si>
  <si>
    <t>DB</t>
  </si>
  <si>
    <t>PDM</t>
  </si>
  <si>
    <t>BABA</t>
  </si>
  <si>
    <t>SAN.MC</t>
  </si>
  <si>
    <t>SAVA</t>
  </si>
  <si>
    <t>BOXL</t>
  </si>
  <si>
    <t>GRF.MC</t>
  </si>
  <si>
    <t>EVFM</t>
  </si>
  <si>
    <t>Metric</t>
  </si>
  <si>
    <t>Value</t>
  </si>
  <si>
    <t>Comparison of CAPM vs Analysts (Tradingview)</t>
  </si>
  <si>
    <t>Portfolio VARIANCE</t>
  </si>
  <si>
    <t>Portfolio SD / Volatility</t>
  </si>
  <si>
    <t>Explicación: el dato del retorno esperado del mercado (Rm)utilizado ha sido 8,5% y el risk-free rate 3,4%. Al haber infraestimado un poco los valores (son estimaciones verídicas de datos factuales y predicciones reales para 2025, pero las hay más altas también), podría entenderse que las predicciones de los analistas fueran más altas. Por tanto, creamos esta columna de comparaciónes para ver anomalías, que sería el caso donde CAPM estime más retorno que los analistas. Estas empresas "anómalas" podrían tener algún tipo de problema en el futuro y se aconseja incluso desinvertir parcialmente.</t>
  </si>
  <si>
    <t xml:space="preserve"> #anomalies =</t>
  </si>
  <si>
    <t>Case A: if they weren't correlated (this formula assumes Pearson's correlation coefficient 𝛒 is 0). That's why it is so low</t>
  </si>
  <si>
    <t>Portfolio Expected Return (%)</t>
  </si>
  <si>
    <t>Portfolio Risk (Volatility %)</t>
  </si>
  <si>
    <t>Case B: admitting the obvious correlations (assuming a 30% average correlation, which is actually rounding it up and nearly only happens at high-volatility times like crises or crashes), and using the factorial for the 62 assets [ 62! / (60! * 2!) ] , which is 1891. In any case, this is not super exact due to having assumed the Pearson coefficient and having used average weights instead of actually associating each Pearson to each weight (higher or lower). Therefore, the real variance of the portfolio could vary from this.</t>
  </si>
  <si>
    <t>Portfolio Beta</t>
  </si>
  <si>
    <t>(Weighted average Beta)</t>
  </si>
  <si>
    <t>Sharpe Ratio</t>
  </si>
  <si>
    <t>Unweighted average E(r)</t>
  </si>
  <si>
    <t>Unweighted average VOL</t>
  </si>
  <si>
    <t>Weighted average VOLATILITY</t>
  </si>
  <si>
    <t>Average CAPM E(r) ---&gt;</t>
  </si>
  <si>
    <t>%</t>
  </si>
  <si>
    <t>Total annualized profit (as of 01/12/24) =</t>
  </si>
  <si>
    <t>Average asset weight</t>
  </si>
  <si>
    <t>Average investment/asset</t>
  </si>
  <si>
    <t>Average Beta (unweighted)</t>
  </si>
  <si>
    <t>Average asset COVARIANCE (𝛒*𝛔1*𝛔2)=</t>
  </si>
  <si>
    <t>supposing a 30% Pearson's correlation coefficient</t>
  </si>
  <si>
    <t>Total invested=</t>
  </si>
  <si>
    <t>CV (as of 01/12/2024) =</t>
  </si>
  <si>
    <t>Carrying profit (%) =</t>
  </si>
  <si>
    <t>Total profit (considering an exchange rate of 1,062) (%) =</t>
  </si>
  <si>
    <t>Actual return for 2025 (*December 2024 included*) =</t>
  </si>
  <si>
    <t>DYNAMIC</t>
  </si>
  <si>
    <t>analysis</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</si>
</sst>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1.0"/>
      <color theme="1"/>
      <name val="Calibri"/>
    </font>
    <font>
      <color theme="1"/>
      <name val="Calibri"/>
      <scheme val="minor"/>
    </font>
    <font>
      <sz val="11.0"/>
      <color theme="1"/>
      <name val="Cabin"/>
    </font>
    <font>
      <sz val="12.0"/>
      <color rgb="FF000000"/>
      <name val="Arvo"/>
    </font>
    <font>
      <sz val="11.0"/>
      <color rgb="FF434343"/>
      <name val="Cabin"/>
    </font>
    <font>
      <color theme="1"/>
      <name val="Arvo"/>
    </font>
    <font>
      <sz val="9.0"/>
      <color rgb="FF000000"/>
      <name val="&quot;Google Sans Mono&quot;"/>
    </font>
    <font>
      <color rgb="FF000000"/>
      <name val="Calibri"/>
      <scheme val="minor"/>
    </font>
    <font>
      <sz val="12.0"/>
      <color theme="1"/>
      <name val="Arvo"/>
    </font>
    <font>
      <color rgb="FF93C47D"/>
      <name val="Calibri"/>
      <scheme val="minor"/>
    </font>
    <font>
      <color rgb="FFEA9999"/>
      <name val="Calibri"/>
      <scheme val="minor"/>
    </font>
    <font>
      <sz val="11.0"/>
      <color theme="1"/>
      <name val="Arvo"/>
    </font>
    <font>
      <color rgb="FF000000"/>
      <name val="Arvo"/>
    </font>
    <font>
      <b/>
      <sz val="12.0"/>
      <color rgb="FF000000"/>
      <name val="Arvo"/>
    </font>
    <font>
      <sz val="11.0"/>
      <color rgb="FF000000"/>
      <name val="Arvo"/>
    </font>
    <font>
      <sz val="12.0"/>
      <color theme="1"/>
      <name val="Calibri"/>
      <scheme val="minor"/>
    </font>
    <font>
      <sz val="14.0"/>
      <color theme="1"/>
      <name val="Arvo"/>
    </font>
    <font>
      <sz val="14.0"/>
      <color rgb="FF1F1F1F"/>
      <name val="&quot;Google Sans&quot;"/>
    </font>
  </fonts>
  <fills count="12">
    <fill>
      <patternFill patternType="none"/>
    </fill>
    <fill>
      <patternFill patternType="lightGray"/>
    </fill>
    <fill>
      <patternFill patternType="solid">
        <fgColor rgb="FFD9D2E9"/>
        <bgColor rgb="FFD9D2E9"/>
      </patternFill>
    </fill>
    <fill>
      <patternFill patternType="solid">
        <fgColor rgb="FFF1F3F4"/>
        <bgColor rgb="FFF1F3F4"/>
      </patternFill>
    </fill>
    <fill>
      <patternFill patternType="solid">
        <fgColor rgb="FF6D9EEB"/>
        <bgColor rgb="FF6D9EEB"/>
      </patternFill>
    </fill>
    <fill>
      <patternFill patternType="solid">
        <fgColor rgb="FFFF9900"/>
        <bgColor rgb="FFFF9900"/>
      </patternFill>
    </fill>
    <fill>
      <patternFill patternType="solid">
        <fgColor rgb="FF93C47D"/>
        <bgColor rgb="FF93C47D"/>
      </patternFill>
    </fill>
    <fill>
      <patternFill patternType="solid">
        <fgColor rgb="FFD9EAD3"/>
        <bgColor rgb="FFD9EAD3"/>
      </patternFill>
    </fill>
    <fill>
      <patternFill patternType="solid">
        <fgColor rgb="FFF9CB9C"/>
        <bgColor rgb="FFF9CB9C"/>
      </patternFill>
    </fill>
    <fill>
      <patternFill patternType="solid">
        <fgColor rgb="FFB7E1CD"/>
        <bgColor rgb="FFB7E1CD"/>
      </patternFill>
    </fill>
    <fill>
      <patternFill patternType="solid">
        <fgColor theme="8"/>
        <bgColor theme="8"/>
      </patternFill>
    </fill>
    <fill>
      <patternFill patternType="solid">
        <fgColor rgb="FFFFFFFF"/>
        <bgColor rgb="FFFFFFFF"/>
      </patternFill>
    </fill>
  </fills>
  <borders count="1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D9D2E9"/>
      </right>
      <top style="thin">
        <color rgb="FFD9D2E9"/>
      </top>
      <bottom style="thin">
        <color rgb="FFD9D2E9"/>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D9D2E9"/>
      </right>
      <top style="double">
        <color rgb="FF284E3F"/>
      </top>
      <bottom style="thin">
        <color rgb="FF284E3F"/>
      </bottom>
    </border>
    <border>
      <left style="thin">
        <color rgb="FFF1F3F4"/>
      </left>
      <right style="thin">
        <color rgb="FFF1F3F4"/>
      </right>
      <top style="double">
        <color rgb="FF284E3F"/>
      </top>
      <bottom style="thin">
        <color rgb="FF284E3F"/>
      </bottom>
    </border>
    <border>
      <left style="thin">
        <color rgb="FFF1F3F4"/>
      </left>
      <right style="thin">
        <color rgb="FF284E3F"/>
      </right>
      <top style="double">
        <color rgb="FF284E3F"/>
      </top>
      <bottom style="thin">
        <color rgb="FF284E3F"/>
      </bottom>
    </border>
    <border>
      <left style="thin">
        <color rgb="FF000000"/>
      </left>
      <right style="thin">
        <color rgb="FF000000"/>
      </right>
      <top style="thin">
        <color rgb="FF000000"/>
      </top>
      <bottom style="thin">
        <color rgb="FF000000"/>
      </bottom>
    </border>
    <border>
      <left style="thin">
        <color rgb="FF4A86E8"/>
      </left>
      <right style="thin">
        <color rgb="FF4A86E8"/>
      </right>
      <top style="thin">
        <color rgb="FF4A86E8"/>
      </top>
      <bottom style="thin">
        <color rgb="FF4A86E8"/>
      </bottom>
    </border>
    <border>
      <left style="thin">
        <color rgb="FF000000"/>
      </left>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2" fillId="0" fontId="1" numFmtId="0" xfId="0" applyAlignment="1" applyBorder="1" applyFont="1">
      <alignment horizontal="center" readingOrder="0" shrinkToFit="0" vertical="top" wrapText="0"/>
    </xf>
    <xf borderId="2" fillId="0" fontId="2" numFmtId="0" xfId="0" applyAlignment="1" applyBorder="1" applyFont="1">
      <alignment horizontal="center" readingOrder="0" shrinkToFit="0" vertical="center" wrapText="0"/>
    </xf>
    <xf borderId="2" fillId="0" fontId="2" numFmtId="0" xfId="0" applyAlignment="1" applyBorder="1" applyFont="1">
      <alignment horizontal="left" readingOrder="0" shrinkToFit="0" vertical="center" wrapText="0"/>
    </xf>
    <xf borderId="2" fillId="0" fontId="2" numFmtId="0" xfId="0" applyAlignment="1" applyBorder="1" applyFont="1">
      <alignment horizontal="center" readingOrder="0" shrinkToFit="0" vertical="center" wrapText="0"/>
    </xf>
    <xf borderId="3" fillId="0" fontId="2" numFmtId="0" xfId="0" applyAlignment="1" applyBorder="1" applyFont="1">
      <alignment horizontal="left" readingOrder="0" shrinkToFit="0" vertical="center" wrapText="0"/>
    </xf>
    <xf borderId="4" fillId="2" fontId="3" numFmtId="0" xfId="0" applyAlignment="1" applyBorder="1" applyFill="1" applyFont="1">
      <alignment readingOrder="0" shrinkToFit="0" vertical="center" wrapText="0"/>
    </xf>
    <xf borderId="5" fillId="0" fontId="4" numFmtId="0" xfId="0" applyAlignment="1" applyBorder="1" applyFont="1">
      <alignment horizontal="center" readingOrder="0" shrinkToFit="0" vertical="center" wrapText="0"/>
    </xf>
    <xf borderId="5" fillId="0" fontId="4" numFmtId="0" xfId="0" applyAlignment="1" applyBorder="1" applyFont="1">
      <alignment horizontal="center" readingOrder="0" shrinkToFit="0" vertical="center" wrapText="0"/>
    </xf>
    <xf borderId="5" fillId="0" fontId="4" numFmtId="0" xfId="0" applyAlignment="1" applyBorder="1" applyFont="1">
      <alignment shrinkToFit="0" vertical="center" wrapText="0"/>
    </xf>
    <xf borderId="5" fillId="0" fontId="4" numFmtId="0" xfId="0" applyAlignment="1" applyBorder="1" applyFont="1">
      <alignment shrinkToFit="0" vertical="center" wrapText="0"/>
    </xf>
    <xf borderId="5" fillId="0" fontId="4" numFmtId="0" xfId="0" applyAlignment="1" applyBorder="1" applyFont="1">
      <alignment horizontal="center" shrinkToFit="0" vertical="center" wrapText="0"/>
    </xf>
    <xf borderId="6" fillId="0" fontId="4" numFmtId="0" xfId="0" applyAlignment="1" applyBorder="1" applyFont="1">
      <alignment horizontal="center" shrinkToFit="0" vertical="center" wrapText="0"/>
    </xf>
    <xf borderId="0" fillId="0" fontId="4" numFmtId="0" xfId="0" applyAlignment="1" applyFont="1">
      <alignment horizontal="center"/>
    </xf>
    <xf borderId="7" fillId="0" fontId="4" numFmtId="0" xfId="0" applyAlignment="1" applyBorder="1" applyFont="1">
      <alignment horizontal="center" readingOrder="0" shrinkToFit="0" vertical="center" wrapText="0"/>
    </xf>
    <xf borderId="7" fillId="0" fontId="4" numFmtId="0" xfId="0" applyAlignment="1" applyBorder="1" applyFont="1">
      <alignment horizontal="center" readingOrder="0" shrinkToFit="0" vertical="center" wrapText="0"/>
    </xf>
    <xf borderId="7" fillId="0" fontId="4" numFmtId="0" xfId="0" applyAlignment="1" applyBorder="1" applyFont="1">
      <alignment shrinkToFit="0" vertical="center" wrapText="0"/>
    </xf>
    <xf borderId="7" fillId="0" fontId="4" numFmtId="0" xfId="0" applyAlignment="1" applyBorder="1" applyFont="1">
      <alignment shrinkToFit="0" vertical="center" wrapText="0"/>
    </xf>
    <xf borderId="7" fillId="0" fontId="4" numFmtId="0" xfId="0" applyAlignment="1" applyBorder="1" applyFont="1">
      <alignment horizontal="center" shrinkToFit="0" vertical="center" wrapText="0"/>
    </xf>
    <xf borderId="8" fillId="0" fontId="4" numFmtId="0" xfId="0" applyAlignment="1" applyBorder="1" applyFont="1">
      <alignment horizontal="center" shrinkToFit="0" vertical="center" wrapText="0"/>
    </xf>
    <xf borderId="4" fillId="2" fontId="5" numFmtId="0" xfId="0" applyAlignment="1" applyBorder="1" applyFont="1">
      <alignment readingOrder="0" shrinkToFit="0" vertical="center" wrapText="0"/>
    </xf>
    <xf borderId="4" fillId="2" fontId="3" numFmtId="0" xfId="0" applyAlignment="1" applyBorder="1" applyFont="1">
      <alignment readingOrder="0" shrinkToFit="0" vertical="center" wrapText="0"/>
    </xf>
    <xf borderId="9" fillId="2" fontId="3" numFmtId="0" xfId="0" applyAlignment="1" applyBorder="1" applyFont="1">
      <alignment readingOrder="0" shrinkToFit="0" vertical="center" wrapText="0"/>
    </xf>
    <xf borderId="10" fillId="3" fontId="4" numFmtId="0" xfId="0" applyAlignment="1" applyBorder="1" applyFill="1" applyFont="1">
      <alignment horizontal="center" readingOrder="0" shrinkToFit="0" vertical="center" wrapText="0"/>
    </xf>
    <xf borderId="10" fillId="3" fontId="4" numFmtId="0" xfId="0" applyAlignment="1" applyBorder="1" applyFont="1">
      <alignment shrinkToFit="0" vertical="center" wrapText="0"/>
    </xf>
    <xf borderId="10" fillId="3" fontId="4" numFmtId="0" xfId="0" applyAlignment="1" applyBorder="1" applyFont="1">
      <alignment horizontal="center" readingOrder="0" shrinkToFit="0" vertical="center" wrapText="0"/>
    </xf>
    <xf borderId="10" fillId="3" fontId="4" numFmtId="0" xfId="0" applyAlignment="1" applyBorder="1" applyFont="1">
      <alignment horizontal="center" shrinkToFit="0" vertical="center" wrapText="0"/>
    </xf>
    <xf borderId="11" fillId="3" fontId="4" numFmtId="0" xfId="0" applyAlignment="1" applyBorder="1" applyFont="1">
      <alignment horizontal="center" shrinkToFit="0" vertical="center" wrapText="0"/>
    </xf>
    <xf borderId="0" fillId="0" fontId="3" numFmtId="0" xfId="0" applyAlignment="1" applyFont="1">
      <alignment readingOrder="0"/>
    </xf>
    <xf borderId="0" fillId="0" fontId="4" numFmtId="0" xfId="0" applyAlignment="1" applyFont="1">
      <alignment horizontal="center" readingOrder="0"/>
    </xf>
    <xf borderId="0" fillId="0" fontId="4" numFmtId="0" xfId="0" applyFont="1"/>
    <xf borderId="0" fillId="0" fontId="4" numFmtId="0" xfId="0" applyAlignment="1" applyFont="1">
      <alignment horizontal="center" readingOrder="0"/>
    </xf>
    <xf borderId="0" fillId="0" fontId="6" numFmtId="0" xfId="0" applyAlignment="1" applyFont="1">
      <alignment horizontal="center"/>
    </xf>
    <xf borderId="0" fillId="0" fontId="6" numFmtId="0" xfId="0" applyFont="1"/>
    <xf borderId="0" fillId="0" fontId="2" numFmtId="0" xfId="0" applyAlignment="1" applyFont="1">
      <alignment horizontal="center"/>
    </xf>
    <xf borderId="12" fillId="0" fontId="1" numFmtId="0" xfId="0" applyAlignment="1" applyBorder="1" applyFont="1">
      <alignment horizontal="left" vertical="top"/>
    </xf>
    <xf borderId="12" fillId="0" fontId="1" numFmtId="0" xfId="0" applyAlignment="1" applyBorder="1" applyFont="1">
      <alignment horizontal="center" vertical="top"/>
    </xf>
    <xf borderId="0" fillId="4" fontId="2" numFmtId="0" xfId="0" applyAlignment="1" applyFill="1" applyFont="1">
      <alignment horizontal="center" readingOrder="0"/>
    </xf>
    <xf borderId="0" fillId="5" fontId="2" numFmtId="0" xfId="0" applyAlignment="1" applyFill="1" applyFont="1">
      <alignment horizontal="center" readingOrder="0"/>
    </xf>
    <xf borderId="0" fillId="6" fontId="2" numFmtId="0" xfId="0" applyAlignment="1" applyFill="1" applyFont="1">
      <alignment readingOrder="0"/>
    </xf>
    <xf borderId="0" fillId="0" fontId="1" numFmtId="0" xfId="0" applyAlignment="1" applyFont="1">
      <alignment horizontal="left" vertical="top"/>
    </xf>
    <xf borderId="0" fillId="0" fontId="1" numFmtId="0" xfId="0" applyAlignment="1" applyFont="1">
      <alignment horizontal="center" vertical="top"/>
    </xf>
    <xf borderId="0" fillId="0" fontId="2" numFmtId="0" xfId="0" applyAlignment="1" applyFont="1">
      <alignment readingOrder="0" shrinkToFit="0" wrapText="0"/>
    </xf>
    <xf borderId="0" fillId="0" fontId="2" numFmtId="0" xfId="0" applyAlignment="1" applyFont="1">
      <alignment horizontal="right" readingOrder="0"/>
    </xf>
    <xf borderId="0" fillId="0" fontId="7" numFmtId="0" xfId="0" applyAlignment="1" applyFont="1">
      <alignment horizontal="left"/>
    </xf>
    <xf borderId="0" fillId="0" fontId="2" numFmtId="0" xfId="0" applyAlignment="1" applyFont="1">
      <alignment horizontal="left" readingOrder="0" shrinkToFit="0" wrapText="0"/>
    </xf>
    <xf borderId="0" fillId="0" fontId="8" numFmtId="0" xfId="0" applyFont="1"/>
    <xf borderId="0" fillId="0" fontId="2" numFmtId="0" xfId="0" applyFont="1"/>
    <xf borderId="0" fillId="0" fontId="2" numFmtId="0" xfId="0" applyAlignment="1" applyFont="1">
      <alignment horizontal="left"/>
    </xf>
    <xf borderId="0" fillId="0" fontId="9" numFmtId="0" xfId="0" applyAlignment="1" applyFont="1">
      <alignment horizontal="right" shrinkToFit="0" wrapText="0"/>
    </xf>
    <xf borderId="13" fillId="0" fontId="2" numFmtId="0" xfId="0" applyAlignment="1" applyBorder="1" applyFont="1">
      <alignment horizontal="center"/>
    </xf>
    <xf borderId="0" fillId="0" fontId="2" numFmtId="0" xfId="0" applyAlignment="1" applyFont="1">
      <alignment readingOrder="0"/>
    </xf>
    <xf borderId="0" fillId="0" fontId="10" numFmtId="0" xfId="0" applyFont="1"/>
    <xf borderId="0" fillId="0" fontId="11" numFmtId="0" xfId="0" applyFont="1"/>
    <xf borderId="0" fillId="0" fontId="4" numFmtId="0" xfId="0" applyAlignment="1" applyFont="1">
      <alignment horizontal="left" readingOrder="0"/>
    </xf>
    <xf borderId="0" fillId="0" fontId="6" numFmtId="0" xfId="0" applyAlignment="1" applyFont="1">
      <alignment horizontal="left" readingOrder="0"/>
    </xf>
    <xf borderId="0" fillId="0" fontId="12" numFmtId="0" xfId="0" applyAlignment="1" applyFont="1">
      <alignment horizontal="left" readingOrder="0"/>
    </xf>
    <xf borderId="0" fillId="0" fontId="6" numFmtId="0" xfId="0" applyAlignment="1" applyFont="1">
      <alignment horizontal="left"/>
    </xf>
    <xf borderId="0" fillId="0" fontId="12" numFmtId="0" xfId="0" applyFont="1"/>
    <xf borderId="0" fillId="0" fontId="13" numFmtId="0" xfId="0" applyAlignment="1" applyFont="1">
      <alignment horizontal="center" readingOrder="0"/>
    </xf>
    <xf borderId="0" fillId="0" fontId="12"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left" readingOrder="0"/>
    </xf>
    <xf borderId="0" fillId="0" fontId="14" numFmtId="0" xfId="0" applyAlignment="1" applyFont="1">
      <alignment horizontal="center" readingOrder="0"/>
    </xf>
    <xf borderId="0" fillId="0" fontId="6" numFmtId="0" xfId="0" applyAlignment="1" applyFont="1">
      <alignment readingOrder="0"/>
    </xf>
    <xf borderId="14" fillId="0" fontId="6" numFmtId="0" xfId="0" applyAlignment="1" applyBorder="1" applyFont="1">
      <alignment horizontal="center" readingOrder="0"/>
    </xf>
    <xf borderId="0" fillId="0" fontId="6" numFmtId="0" xfId="0" applyAlignment="1" applyFont="1">
      <alignment horizontal="right"/>
    </xf>
    <xf borderId="0" fillId="0" fontId="6" numFmtId="0" xfId="0" applyAlignment="1" applyFont="1">
      <alignment horizontal="right" readingOrder="0"/>
    </xf>
    <xf borderId="0" fillId="0" fontId="12" numFmtId="0" xfId="0" applyAlignment="1" applyFont="1">
      <alignment horizontal="left" readingOrder="0"/>
    </xf>
    <xf borderId="0" fillId="7" fontId="12" numFmtId="0" xfId="0" applyFill="1" applyFont="1"/>
    <xf borderId="0" fillId="0" fontId="15" numFmtId="0" xfId="0" applyAlignment="1" applyFont="1">
      <alignment horizontal="center" readingOrder="0"/>
    </xf>
    <xf borderId="0" fillId="0" fontId="16" numFmtId="0" xfId="0" applyAlignment="1" applyFont="1">
      <alignment horizontal="left" readingOrder="0"/>
    </xf>
    <xf borderId="0" fillId="0" fontId="6" numFmtId="0" xfId="0" applyAlignment="1" applyFont="1">
      <alignment horizontal="left" readingOrder="0" shrinkToFit="0" wrapText="0"/>
    </xf>
    <xf borderId="0" fillId="0" fontId="6" numFmtId="0" xfId="0" applyAlignment="1" applyFont="1">
      <alignment horizontal="center" readingOrder="0"/>
    </xf>
    <xf borderId="0" fillId="8" fontId="6" numFmtId="0" xfId="0" applyAlignment="1" applyFill="1" applyFont="1">
      <alignment horizontal="center" readingOrder="0"/>
    </xf>
    <xf borderId="0" fillId="9" fontId="6" numFmtId="0" xfId="0" applyAlignment="1" applyFill="1" applyFont="1">
      <alignment horizontal="center"/>
    </xf>
    <xf borderId="0" fillId="0" fontId="6" numFmtId="0" xfId="0" applyAlignment="1" applyFont="1">
      <alignment shrinkToFit="0" wrapText="0"/>
    </xf>
    <xf borderId="0" fillId="10" fontId="6" numFmtId="0" xfId="0" applyAlignment="1" applyFill="1" applyFont="1">
      <alignment horizontal="left" readingOrder="0"/>
    </xf>
    <xf borderId="0" fillId="0" fontId="17" numFmtId="0" xfId="0" applyAlignment="1" applyFont="1">
      <alignment readingOrder="0"/>
    </xf>
    <xf borderId="0" fillId="11" fontId="18" numFmtId="0" xfId="0" applyAlignment="1" applyFill="1" applyFont="1">
      <alignment readingOrder="0"/>
    </xf>
  </cellXfs>
  <cellStyles count="1">
    <cellStyle xfId="0" name="Normal" builtinId="0"/>
  </cellStyles>
  <dxfs count="2">
    <dxf>
      <font/>
      <fill>
        <patternFill patternType="none"/>
      </fill>
      <border/>
    </dxf>
    <dxf>
      <font/>
      <fill>
        <patternFill patternType="solid">
          <fgColor rgb="FF980000"/>
          <bgColor rgb="FF98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180975</xdr:rowOff>
    </xdr:from>
    <xdr:ext cx="2857500" cy="2857500"/>
    <mc:AlternateContent>
      <mc:Choice Requires="sle15">
        <xdr:graphicFrame>
          <xdr:nvGraphicFramePr>
            <xdr:cNvPr id="1" name="Barclays_1"/>
            <xdr:cNvGraphicFramePr/>
          </xdr:nvGraphicFramePr>
          <xdr:xfrm>
            <a:off x="0" y="0"/>
            <a:ext cx="0" cy="0"/>
          </xdr:xfrm>
          <a:graphic>
            <a:graphicData uri="http://schemas.microsoft.com/office/drawing/2010/slicer">
              <x3Unk:slicer name="Barclay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Barclays">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Barclays_1" cache="SlicerCache_Table_1_Col_1" caption="Barclays" rowHeight="247650"/>
</x14:slicers>
</file>

<file path=xl/tables/table1.xml><?xml version="1.0" encoding="utf-8"?>
<table xmlns="http://schemas.openxmlformats.org/spreadsheetml/2006/main" ref="A2:A62" displayName="Table_1" name="Table_1" id="1">
  <autoFilter ref="$A$2:$A$62"/>
  <tableColumns count="1">
    <tableColumn name="Barclays" id="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57"/>
    <col customWidth="1" min="2" max="2" width="39.29"/>
    <col customWidth="1" min="3" max="3" width="24.86"/>
    <col customWidth="1" min="4" max="4" width="14.0"/>
    <col customWidth="1" min="5" max="5" width="19.57"/>
    <col customWidth="1" min="6" max="6" width="22.86"/>
    <col customWidth="1" min="7" max="7" width="8.71"/>
    <col customWidth="1" min="8" max="8" width="28.43"/>
    <col customWidth="1" min="9" max="9" width="20.14"/>
    <col customWidth="1" min="10" max="11" width="27.71"/>
    <col customWidth="1" min="18" max="27" width="8.71"/>
  </cols>
  <sheetData>
    <row r="1">
      <c r="A1" s="1" t="s">
        <v>0</v>
      </c>
      <c r="B1" s="2" t="s">
        <v>1</v>
      </c>
      <c r="C1" s="2" t="s">
        <v>2</v>
      </c>
      <c r="D1" s="2" t="s">
        <v>3</v>
      </c>
      <c r="E1" s="2" t="s">
        <v>4</v>
      </c>
      <c r="F1" s="3" t="s">
        <v>5</v>
      </c>
      <c r="G1" s="4" t="s">
        <v>6</v>
      </c>
      <c r="H1" s="5" t="s">
        <v>7</v>
      </c>
      <c r="I1" s="4" t="s">
        <v>8</v>
      </c>
      <c r="J1" s="6" t="s">
        <v>9</v>
      </c>
    </row>
    <row r="2">
      <c r="A2" s="7" t="s">
        <v>10</v>
      </c>
      <c r="B2" s="8">
        <v>0.1252</v>
      </c>
      <c r="C2" s="8">
        <v>0.28</v>
      </c>
      <c r="D2" s="9">
        <v>1.2</v>
      </c>
      <c r="E2" s="10">
        <f>DIVIDE(F2,Summary!$D$22)</f>
        <v>0.03470896533</v>
      </c>
      <c r="F2" s="8">
        <v>550.0</v>
      </c>
      <c r="G2" s="11"/>
      <c r="H2" s="9">
        <v>0.0952</v>
      </c>
      <c r="I2" s="12">
        <f t="shared" ref="I2:I62" si="1">C2^2</f>
        <v>0.0784</v>
      </c>
      <c r="J2" s="13">
        <f t="shared" ref="J2:J62" si="2">E2^2</f>
        <v>0.001204712274</v>
      </c>
      <c r="K2" s="14"/>
    </row>
    <row r="3">
      <c r="A3" s="7" t="s">
        <v>11</v>
      </c>
      <c r="B3" s="15">
        <v>0.3773</v>
      </c>
      <c r="C3" s="15">
        <v>0.3638</v>
      </c>
      <c r="D3" s="16">
        <v>1.05</v>
      </c>
      <c r="E3" s="17">
        <f>DIVIDE(F3,Summary!$D$22)</f>
        <v>0.0556321607</v>
      </c>
      <c r="F3" s="15">
        <v>881.55</v>
      </c>
      <c r="G3" s="18"/>
      <c r="H3" s="16">
        <f t="shared" ref="H3:H62" si="3">0.034 + D3*(0.085-0.034)</f>
        <v>0.08755</v>
      </c>
      <c r="I3" s="19">
        <f t="shared" si="1"/>
        <v>0.13235044</v>
      </c>
      <c r="J3" s="20">
        <f t="shared" si="2"/>
        <v>0.003094937304</v>
      </c>
      <c r="K3" s="14"/>
    </row>
    <row r="4">
      <c r="A4" s="7" t="s">
        <v>12</v>
      </c>
      <c r="B4" s="8">
        <v>0.0929</v>
      </c>
      <c r="C4" s="8">
        <v>0.17</v>
      </c>
      <c r="D4" s="8">
        <v>1.0</v>
      </c>
      <c r="E4" s="10">
        <f>DIVIDE(F4,Summary!$D$22)</f>
        <v>0.04998217221</v>
      </c>
      <c r="F4" s="8">
        <v>792.02</v>
      </c>
      <c r="G4" s="11"/>
      <c r="H4" s="9">
        <f t="shared" si="3"/>
        <v>0.085</v>
      </c>
      <c r="I4" s="12">
        <f t="shared" si="1"/>
        <v>0.0289</v>
      </c>
      <c r="J4" s="13">
        <f t="shared" si="2"/>
        <v>0.002498217539</v>
      </c>
      <c r="K4" s="14"/>
    </row>
    <row r="5">
      <c r="A5" s="7" t="s">
        <v>13</v>
      </c>
      <c r="B5" s="15">
        <v>0.2727</v>
      </c>
      <c r="C5" s="15">
        <v>0.3624</v>
      </c>
      <c r="D5" s="16">
        <v>1.3</v>
      </c>
      <c r="E5" s="17">
        <f>DIVIDE(F5,Summary!$D$22)</f>
        <v>0.05345054446</v>
      </c>
      <c r="F5" s="15">
        <v>846.98</v>
      </c>
      <c r="G5" s="18"/>
      <c r="H5" s="16">
        <f t="shared" si="3"/>
        <v>0.1003</v>
      </c>
      <c r="I5" s="19">
        <f t="shared" si="1"/>
        <v>0.13133376</v>
      </c>
      <c r="J5" s="20">
        <f t="shared" si="2"/>
        <v>0.002856960703</v>
      </c>
      <c r="K5" s="14"/>
    </row>
    <row r="6">
      <c r="A6" s="7" t="s">
        <v>14</v>
      </c>
      <c r="B6" s="8">
        <v>0.1391</v>
      </c>
      <c r="C6" s="8">
        <v>0.4323</v>
      </c>
      <c r="D6" s="9">
        <v>1.4</v>
      </c>
      <c r="E6" s="10">
        <f>DIVIDE(F6,Summary!$D$22)</f>
        <v>0.02767692895</v>
      </c>
      <c r="F6" s="8">
        <v>438.57</v>
      </c>
      <c r="G6" s="11"/>
      <c r="H6" s="9">
        <f t="shared" si="3"/>
        <v>0.1054</v>
      </c>
      <c r="I6" s="12">
        <f t="shared" si="1"/>
        <v>0.18688329</v>
      </c>
      <c r="J6" s="13">
        <f t="shared" si="2"/>
        <v>0.0007660123961</v>
      </c>
      <c r="K6" s="14"/>
    </row>
    <row r="7">
      <c r="A7" s="7" t="s">
        <v>15</v>
      </c>
      <c r="B7" s="15">
        <v>0.3776</v>
      </c>
      <c r="C7" s="15">
        <v>0.46</v>
      </c>
      <c r="D7" s="15">
        <v>1.33</v>
      </c>
      <c r="E7" s="17">
        <f>DIVIDE(F7,Summary!$D$22)</f>
        <v>0.03007563399</v>
      </c>
      <c r="F7" s="15">
        <v>476.58</v>
      </c>
      <c r="G7" s="18"/>
      <c r="H7" s="16">
        <f t="shared" si="3"/>
        <v>0.10183</v>
      </c>
      <c r="I7" s="19">
        <f t="shared" si="1"/>
        <v>0.2116</v>
      </c>
      <c r="J7" s="20">
        <f t="shared" si="2"/>
        <v>0.0009045437599</v>
      </c>
      <c r="K7" s="14"/>
    </row>
    <row r="8">
      <c r="A8" s="7" t="s">
        <v>16</v>
      </c>
      <c r="B8" s="8">
        <v>0.256</v>
      </c>
      <c r="C8" s="8">
        <v>0.22</v>
      </c>
      <c r="D8" s="9">
        <v>0.73</v>
      </c>
      <c r="E8" s="10">
        <f>DIVIDE(F8,Summary!$D$22)</f>
        <v>0.03843355284</v>
      </c>
      <c r="F8" s="8">
        <v>609.02</v>
      </c>
      <c r="G8" s="11"/>
      <c r="H8" s="9">
        <f t="shared" si="3"/>
        <v>0.07123</v>
      </c>
      <c r="I8" s="12">
        <f t="shared" si="1"/>
        <v>0.0484</v>
      </c>
      <c r="J8" s="13">
        <f t="shared" si="2"/>
        <v>0.001477137984</v>
      </c>
      <c r="K8" s="14"/>
    </row>
    <row r="9">
      <c r="A9" s="7" t="s">
        <v>17</v>
      </c>
      <c r="B9" s="15">
        <v>0.1021</v>
      </c>
      <c r="C9" s="15">
        <v>0.33</v>
      </c>
      <c r="D9" s="15">
        <v>1.455</v>
      </c>
      <c r="E9" s="17">
        <f>DIVIDE(F9,Summary!$D$22)</f>
        <v>0.02387598171</v>
      </c>
      <c r="F9" s="15">
        <v>378.34</v>
      </c>
      <c r="G9" s="18"/>
      <c r="H9" s="16">
        <f t="shared" si="3"/>
        <v>0.108205</v>
      </c>
      <c r="I9" s="19">
        <f t="shared" si="1"/>
        <v>0.1089</v>
      </c>
      <c r="J9" s="20">
        <f t="shared" si="2"/>
        <v>0.0005700625027</v>
      </c>
      <c r="K9" s="14"/>
    </row>
    <row r="10">
      <c r="A10" s="7" t="s">
        <v>18</v>
      </c>
      <c r="B10" s="8">
        <v>0.4819</v>
      </c>
      <c r="C10" s="8">
        <v>0.35</v>
      </c>
      <c r="D10" s="8">
        <v>1.32</v>
      </c>
      <c r="E10" s="10">
        <f>DIVIDE(F10,Summary!$D$22)</f>
        <v>0.0469088511</v>
      </c>
      <c r="F10" s="8">
        <v>743.32</v>
      </c>
      <c r="G10" s="11"/>
      <c r="H10" s="9">
        <f t="shared" si="3"/>
        <v>0.10132</v>
      </c>
      <c r="I10" s="12">
        <f t="shared" si="1"/>
        <v>0.1225</v>
      </c>
      <c r="J10" s="13">
        <f t="shared" si="2"/>
        <v>0.002200440312</v>
      </c>
      <c r="K10" s="14"/>
    </row>
    <row r="11">
      <c r="A11" s="7" t="s">
        <v>19</v>
      </c>
      <c r="B11" s="15">
        <v>0.2558</v>
      </c>
      <c r="C11" s="15">
        <v>0.286</v>
      </c>
      <c r="D11" s="16">
        <v>0.6</v>
      </c>
      <c r="E11" s="17">
        <f>DIVIDE(F11,Summary!$D$22)</f>
        <v>0.02799309607</v>
      </c>
      <c r="F11" s="15">
        <v>443.58</v>
      </c>
      <c r="G11" s="18"/>
      <c r="H11" s="16">
        <f t="shared" si="3"/>
        <v>0.0646</v>
      </c>
      <c r="I11" s="19">
        <f t="shared" si="1"/>
        <v>0.081796</v>
      </c>
      <c r="J11" s="20">
        <f t="shared" si="2"/>
        <v>0.0007836134277</v>
      </c>
      <c r="K11" s="14"/>
    </row>
    <row r="12">
      <c r="A12" s="7" t="s">
        <v>20</v>
      </c>
      <c r="B12" s="8">
        <v>0.1222</v>
      </c>
      <c r="C12" s="8">
        <v>0.3428</v>
      </c>
      <c r="D12" s="9">
        <v>0.8</v>
      </c>
      <c r="E12" s="10">
        <f>DIVIDE(F12,Summary!$D$22)</f>
        <v>0.07385373642</v>
      </c>
      <c r="F12" s="8">
        <v>1170.29</v>
      </c>
      <c r="G12" s="11"/>
      <c r="H12" s="9">
        <f t="shared" si="3"/>
        <v>0.0748</v>
      </c>
      <c r="I12" s="12">
        <f t="shared" si="1"/>
        <v>0.11751184</v>
      </c>
      <c r="J12" s="13">
        <f t="shared" si="2"/>
        <v>0.005454374383</v>
      </c>
      <c r="K12" s="14"/>
    </row>
    <row r="13">
      <c r="A13" s="7" t="s">
        <v>21</v>
      </c>
      <c r="B13" s="15">
        <v>0.0195</v>
      </c>
      <c r="C13" s="15">
        <f>(0.1944+0.194+0.1706)/3</f>
        <v>0.1863333333</v>
      </c>
      <c r="D13" s="15">
        <v>1.3</v>
      </c>
      <c r="E13" s="17">
        <f>DIVIDE(F13,Summary!$D$22)</f>
        <v>0.01897002723</v>
      </c>
      <c r="F13" s="15">
        <v>300.6</v>
      </c>
      <c r="G13" s="18"/>
      <c r="H13" s="16">
        <f t="shared" si="3"/>
        <v>0.1003</v>
      </c>
      <c r="I13" s="19">
        <f t="shared" si="1"/>
        <v>0.03472011111</v>
      </c>
      <c r="J13" s="20">
        <f t="shared" si="2"/>
        <v>0.0003598619331</v>
      </c>
      <c r="K13" s="14"/>
    </row>
    <row r="14">
      <c r="A14" s="7" t="s">
        <v>22</v>
      </c>
      <c r="B14" s="8">
        <v>0.003</v>
      </c>
      <c r="C14" s="8">
        <v>0.2682</v>
      </c>
      <c r="D14" s="9">
        <v>0.9</v>
      </c>
      <c r="E14" s="10">
        <f>DIVIDE(F14,Summary!$D$22)</f>
        <v>0.02611376337</v>
      </c>
      <c r="F14" s="8">
        <v>413.8</v>
      </c>
      <c r="G14" s="11"/>
      <c r="H14" s="9">
        <f t="shared" si="3"/>
        <v>0.0799</v>
      </c>
      <c r="I14" s="12">
        <f t="shared" si="1"/>
        <v>0.07193124</v>
      </c>
      <c r="J14" s="13">
        <f t="shared" si="2"/>
        <v>0.0006819286372</v>
      </c>
      <c r="K14" s="14"/>
    </row>
    <row r="15">
      <c r="A15" s="7" t="s">
        <v>23</v>
      </c>
      <c r="B15" s="15">
        <v>0.3896</v>
      </c>
      <c r="C15" s="15">
        <v>0.3833</v>
      </c>
      <c r="D15" s="16">
        <v>1.52</v>
      </c>
      <c r="E15" s="17">
        <f>DIVIDE(F15,Summary!$D$22)</f>
        <v>0.02353267849</v>
      </c>
      <c r="F15" s="15">
        <v>372.9</v>
      </c>
      <c r="G15" s="18"/>
      <c r="H15" s="16">
        <f t="shared" si="3"/>
        <v>0.11152</v>
      </c>
      <c r="I15" s="19">
        <f t="shared" si="1"/>
        <v>0.14691889</v>
      </c>
      <c r="J15" s="20">
        <f t="shared" si="2"/>
        <v>0.000553786957</v>
      </c>
      <c r="K15" s="14"/>
    </row>
    <row r="16">
      <c r="A16" s="7" t="s">
        <v>24</v>
      </c>
      <c r="B16" s="8">
        <v>-0.0076</v>
      </c>
      <c r="C16" s="8">
        <v>0.3054</v>
      </c>
      <c r="D16" s="9">
        <v>0.6</v>
      </c>
      <c r="E16" s="10">
        <f>DIVIDE(F16,Summary!$D$22)</f>
        <v>0.01563544227</v>
      </c>
      <c r="F16" s="8">
        <v>247.76</v>
      </c>
      <c r="G16" s="11"/>
      <c r="H16" s="9">
        <f t="shared" si="3"/>
        <v>0.0646</v>
      </c>
      <c r="I16" s="12">
        <f t="shared" si="1"/>
        <v>0.09326916</v>
      </c>
      <c r="J16" s="13">
        <f t="shared" si="2"/>
        <v>0.000244467055</v>
      </c>
      <c r="K16" s="14"/>
    </row>
    <row r="17">
      <c r="A17" s="7" t="s">
        <v>25</v>
      </c>
      <c r="B17" s="15">
        <v>0.0186</v>
      </c>
      <c r="C17" s="15">
        <v>0.2125</v>
      </c>
      <c r="D17" s="16">
        <v>1.04</v>
      </c>
      <c r="E17" s="17">
        <f>DIVIDE(F17,Summary!$D$22)</f>
        <v>0.0190520666</v>
      </c>
      <c r="F17" s="15">
        <v>301.9</v>
      </c>
      <c r="G17" s="18"/>
      <c r="H17" s="16">
        <f t="shared" si="3"/>
        <v>0.08704</v>
      </c>
      <c r="I17" s="19">
        <f t="shared" si="1"/>
        <v>0.04515625</v>
      </c>
      <c r="J17" s="20">
        <f t="shared" si="2"/>
        <v>0.0003629812419</v>
      </c>
      <c r="K17" s="14"/>
    </row>
    <row r="18">
      <c r="A18" s="7" t="s">
        <v>26</v>
      </c>
      <c r="B18" s="8">
        <v>-0.0054</v>
      </c>
      <c r="C18" s="8">
        <v>0.1677</v>
      </c>
      <c r="D18" s="9">
        <v>0.94</v>
      </c>
      <c r="E18" s="10">
        <f>DIVIDE(F18,Summary!$D$22)</f>
        <v>0.01688370288</v>
      </c>
      <c r="F18" s="8">
        <v>267.54</v>
      </c>
      <c r="G18" s="11"/>
      <c r="H18" s="9">
        <f t="shared" si="3"/>
        <v>0.08194</v>
      </c>
      <c r="I18" s="12">
        <f t="shared" si="1"/>
        <v>0.02812329</v>
      </c>
      <c r="J18" s="13">
        <f t="shared" si="2"/>
        <v>0.0002850594229</v>
      </c>
      <c r="K18" s="14"/>
    </row>
    <row r="19">
      <c r="A19" s="7" t="s">
        <v>27</v>
      </c>
      <c r="B19" s="15">
        <v>0.0649</v>
      </c>
      <c r="C19" s="15">
        <v>0.2991</v>
      </c>
      <c r="D19" s="16">
        <v>0.82</v>
      </c>
      <c r="E19" s="17">
        <f>DIVIDE(F19,Summary!$D$22)</f>
        <v>0.0147595142</v>
      </c>
      <c r="F19" s="15">
        <v>233.88</v>
      </c>
      <c r="G19" s="18"/>
      <c r="H19" s="16">
        <f t="shared" si="3"/>
        <v>0.07582</v>
      </c>
      <c r="I19" s="19">
        <f t="shared" si="1"/>
        <v>0.08946081</v>
      </c>
      <c r="J19" s="20">
        <f t="shared" si="2"/>
        <v>0.0002178432594</v>
      </c>
      <c r="K19" s="14"/>
    </row>
    <row r="20">
      <c r="A20" s="7" t="s">
        <v>28</v>
      </c>
      <c r="B20" s="8">
        <v>-0.1243</v>
      </c>
      <c r="C20" s="8">
        <v>0.4502</v>
      </c>
      <c r="D20" s="9">
        <v>1.27</v>
      </c>
      <c r="E20" s="10">
        <f>DIVIDE(F20,Summary!$D$22)</f>
        <v>0.009107632501</v>
      </c>
      <c r="F20" s="8">
        <v>144.32</v>
      </c>
      <c r="G20" s="11"/>
      <c r="H20" s="9">
        <f t="shared" si="3"/>
        <v>0.09877</v>
      </c>
      <c r="I20" s="12">
        <f t="shared" si="1"/>
        <v>0.20268004</v>
      </c>
      <c r="J20" s="13">
        <f t="shared" si="2"/>
        <v>0.00008294896978</v>
      </c>
      <c r="K20" s="14"/>
    </row>
    <row r="21" ht="15.75" customHeight="1">
      <c r="A21" s="7" t="s">
        <v>29</v>
      </c>
      <c r="B21" s="15">
        <v>-0.0078</v>
      </c>
      <c r="C21" s="15">
        <v>0.1659</v>
      </c>
      <c r="D21" s="16">
        <v>0.22</v>
      </c>
      <c r="E21" s="17">
        <f>DIVIDE(F21,Summary!$D$22)</f>
        <v>0.01830109081</v>
      </c>
      <c r="F21" s="15">
        <v>290.0</v>
      </c>
      <c r="G21" s="18"/>
      <c r="H21" s="16">
        <f t="shared" si="3"/>
        <v>0.04522</v>
      </c>
      <c r="I21" s="19">
        <f t="shared" si="1"/>
        <v>0.02752281</v>
      </c>
      <c r="J21" s="20">
        <f t="shared" si="2"/>
        <v>0.0003349299248</v>
      </c>
      <c r="K21" s="14"/>
    </row>
    <row r="22" ht="15.75" customHeight="1">
      <c r="A22" s="7" t="s">
        <v>30</v>
      </c>
      <c r="B22" s="8">
        <v>0.0634</v>
      </c>
      <c r="C22" s="8">
        <v>0.2764</v>
      </c>
      <c r="D22" s="9">
        <v>1.17</v>
      </c>
      <c r="E22" s="10">
        <f>DIVIDE(F22,Summary!$D$22)</f>
        <v>0.01421805434</v>
      </c>
      <c r="F22" s="8">
        <v>225.3</v>
      </c>
      <c r="G22" s="11"/>
      <c r="H22" s="9">
        <f t="shared" si="3"/>
        <v>0.09367</v>
      </c>
      <c r="I22" s="12">
        <f t="shared" si="1"/>
        <v>0.07639696</v>
      </c>
      <c r="J22" s="13">
        <f t="shared" si="2"/>
        <v>0.0002021530693</v>
      </c>
      <c r="K22" s="14"/>
    </row>
    <row r="23" ht="15.75" customHeight="1">
      <c r="A23" s="7" t="s">
        <v>31</v>
      </c>
      <c r="B23" s="15">
        <v>0.0948</v>
      </c>
      <c r="C23" s="15">
        <v>0.3792</v>
      </c>
      <c r="D23" s="16">
        <v>0.97</v>
      </c>
      <c r="E23" s="17">
        <f>DIVIDE(F23,Summary!$D$22)</f>
        <v>0.01427295761</v>
      </c>
      <c r="F23" s="15">
        <v>226.17</v>
      </c>
      <c r="G23" s="18"/>
      <c r="H23" s="16">
        <f t="shared" si="3"/>
        <v>0.08347</v>
      </c>
      <c r="I23" s="19">
        <f t="shared" si="1"/>
        <v>0.14379264</v>
      </c>
      <c r="J23" s="20">
        <f t="shared" si="2"/>
        <v>0.0002037173191</v>
      </c>
      <c r="K23" s="14"/>
    </row>
    <row r="24" ht="15.75" customHeight="1">
      <c r="A24" s="7" t="s">
        <v>32</v>
      </c>
      <c r="B24" s="8">
        <v>0.3068</v>
      </c>
      <c r="C24" s="8">
        <v>0.2849</v>
      </c>
      <c r="D24" s="9">
        <v>0.72</v>
      </c>
      <c r="E24" s="10">
        <f>DIVIDE(F24,Summary!$D$22)</f>
        <v>0.01567141338</v>
      </c>
      <c r="F24" s="8">
        <v>248.33</v>
      </c>
      <c r="G24" s="11"/>
      <c r="H24" s="9">
        <f t="shared" si="3"/>
        <v>0.07072</v>
      </c>
      <c r="I24" s="12">
        <f t="shared" si="1"/>
        <v>0.08116801</v>
      </c>
      <c r="J24" s="13">
        <f t="shared" si="2"/>
        <v>0.0002455931973</v>
      </c>
      <c r="K24" s="14"/>
    </row>
    <row r="25" ht="15.75" customHeight="1">
      <c r="A25" s="7" t="s">
        <v>33</v>
      </c>
      <c r="B25" s="15">
        <v>0.4311</v>
      </c>
      <c r="C25" s="15">
        <v>0.4173</v>
      </c>
      <c r="D25" s="15">
        <v>1.36</v>
      </c>
      <c r="E25" s="17">
        <f>DIVIDE(F25,Summary!$D$22)</f>
        <v>0.01298367732</v>
      </c>
      <c r="F25" s="15">
        <v>205.74</v>
      </c>
      <c r="G25" s="18"/>
      <c r="H25" s="16">
        <f t="shared" si="3"/>
        <v>0.10336</v>
      </c>
      <c r="I25" s="19">
        <f t="shared" si="1"/>
        <v>0.17413929</v>
      </c>
      <c r="J25" s="20">
        <f t="shared" si="2"/>
        <v>0.0001685758768</v>
      </c>
      <c r="K25" s="14"/>
    </row>
    <row r="26" ht="15.75" customHeight="1">
      <c r="A26" s="7" t="s">
        <v>34</v>
      </c>
      <c r="B26" s="8">
        <v>0.3431</v>
      </c>
      <c r="C26" s="9">
        <v>0.33</v>
      </c>
      <c r="D26" s="8">
        <v>0.8</v>
      </c>
      <c r="E26" s="10">
        <f>DIVIDE(F26,Summary!$D$22)</f>
        <v>0.01479232995</v>
      </c>
      <c r="F26" s="8">
        <v>234.4</v>
      </c>
      <c r="G26" s="11"/>
      <c r="H26" s="9">
        <f t="shared" si="3"/>
        <v>0.0748</v>
      </c>
      <c r="I26" s="12">
        <f t="shared" si="1"/>
        <v>0.1089</v>
      </c>
      <c r="J26" s="13">
        <f t="shared" si="2"/>
        <v>0.0002188130253</v>
      </c>
      <c r="K26" s="14"/>
    </row>
    <row r="27" ht="15.75" customHeight="1">
      <c r="A27" s="7" t="s">
        <v>35</v>
      </c>
      <c r="B27" s="15">
        <v>0.3645</v>
      </c>
      <c r="C27" s="15">
        <v>0.52</v>
      </c>
      <c r="D27" s="15">
        <v>1.05</v>
      </c>
      <c r="E27" s="17">
        <f>DIVIDE(F27,Summary!$D$22)</f>
        <v>0.01476771814</v>
      </c>
      <c r="F27" s="15">
        <v>234.01</v>
      </c>
      <c r="G27" s="18"/>
      <c r="H27" s="16">
        <f t="shared" si="3"/>
        <v>0.08755</v>
      </c>
      <c r="I27" s="19">
        <f t="shared" si="1"/>
        <v>0.2704</v>
      </c>
      <c r="J27" s="20">
        <f t="shared" si="2"/>
        <v>0.000218085499</v>
      </c>
      <c r="K27" s="14"/>
    </row>
    <row r="28" ht="15.75" customHeight="1">
      <c r="A28" s="7" t="s">
        <v>36</v>
      </c>
      <c r="B28" s="8">
        <v>0.0534</v>
      </c>
      <c r="C28" s="8">
        <v>0.28</v>
      </c>
      <c r="D28" s="8">
        <v>0.68</v>
      </c>
      <c r="E28" s="10">
        <f>DIVIDE(F28,Summary!$D$22)</f>
        <v>0.01262207301</v>
      </c>
      <c r="F28" s="8">
        <v>200.01</v>
      </c>
      <c r="G28" s="11"/>
      <c r="H28" s="9">
        <f t="shared" si="3"/>
        <v>0.06868</v>
      </c>
      <c r="I28" s="12">
        <f t="shared" si="1"/>
        <v>0.0784</v>
      </c>
      <c r="J28" s="13">
        <f t="shared" si="2"/>
        <v>0.000159316727</v>
      </c>
      <c r="K28" s="14"/>
    </row>
    <row r="29" ht="15.75" customHeight="1">
      <c r="A29" s="7" t="s">
        <v>37</v>
      </c>
      <c r="B29" s="15">
        <v>0.271</v>
      </c>
      <c r="C29" s="15">
        <v>0.36</v>
      </c>
      <c r="D29" s="15">
        <v>0.88</v>
      </c>
      <c r="E29" s="17">
        <f>DIVIDE(F29,Summary!$D$22)</f>
        <v>0.01390756687</v>
      </c>
      <c r="F29" s="15">
        <v>220.38</v>
      </c>
      <c r="G29" s="18"/>
      <c r="H29" s="16">
        <f t="shared" si="3"/>
        <v>0.07888</v>
      </c>
      <c r="I29" s="19">
        <f t="shared" si="1"/>
        <v>0.1296</v>
      </c>
      <c r="J29" s="20">
        <f t="shared" si="2"/>
        <v>0.0001934204162</v>
      </c>
      <c r="K29" s="14"/>
    </row>
    <row r="30" ht="15.75" customHeight="1">
      <c r="A30" s="7" t="s">
        <v>38</v>
      </c>
      <c r="B30" s="8">
        <v>0.212</v>
      </c>
      <c r="C30" s="8">
        <v>0.41</v>
      </c>
      <c r="D30" s="8">
        <v>1.48</v>
      </c>
      <c r="E30" s="10">
        <f>DIVIDE(F30,Summary!$D$22)</f>
        <v>0.01135992882</v>
      </c>
      <c r="F30" s="8">
        <v>180.01</v>
      </c>
      <c r="G30" s="11"/>
      <c r="H30" s="9">
        <f t="shared" si="3"/>
        <v>0.10948</v>
      </c>
      <c r="I30" s="12">
        <f t="shared" si="1"/>
        <v>0.1681</v>
      </c>
      <c r="J30" s="13">
        <f t="shared" si="2"/>
        <v>0.0001290479827</v>
      </c>
      <c r="K30" s="14"/>
    </row>
    <row r="31" ht="15.75" customHeight="1">
      <c r="A31" s="7" t="s">
        <v>39</v>
      </c>
      <c r="B31" s="15">
        <v>0.415</v>
      </c>
      <c r="C31" s="15">
        <v>0.37</v>
      </c>
      <c r="D31" s="15">
        <v>1.39</v>
      </c>
      <c r="E31" s="17">
        <f>DIVIDE(F31,Summary!$D$22)</f>
        <v>0.01224090546</v>
      </c>
      <c r="F31" s="15">
        <v>193.97</v>
      </c>
      <c r="G31" s="18"/>
      <c r="H31" s="16">
        <f t="shared" si="3"/>
        <v>0.10489</v>
      </c>
      <c r="I31" s="19">
        <f t="shared" si="1"/>
        <v>0.1369</v>
      </c>
      <c r="J31" s="20">
        <f t="shared" si="2"/>
        <v>0.0001498397665</v>
      </c>
      <c r="K31" s="14"/>
    </row>
    <row r="32" ht="15.75" customHeight="1">
      <c r="A32" s="7" t="s">
        <v>40</v>
      </c>
      <c r="B32" s="8">
        <v>0.231</v>
      </c>
      <c r="C32" s="8">
        <v>0.16</v>
      </c>
      <c r="D32" s="8">
        <v>0.49</v>
      </c>
      <c r="E32" s="10">
        <f>DIVIDE(F32,Summary!$D$22)</f>
        <v>0.01419975325</v>
      </c>
      <c r="F32" s="8">
        <v>225.01</v>
      </c>
      <c r="G32" s="11"/>
      <c r="H32" s="9">
        <f t="shared" si="3"/>
        <v>0.05899</v>
      </c>
      <c r="I32" s="12">
        <f t="shared" si="1"/>
        <v>0.0256</v>
      </c>
      <c r="J32" s="13">
        <f t="shared" si="2"/>
        <v>0.0002016329924</v>
      </c>
      <c r="K32" s="14"/>
    </row>
    <row r="33" ht="15.75" customHeight="1">
      <c r="A33" s="7" t="s">
        <v>41</v>
      </c>
      <c r="B33" s="15">
        <v>0.2223</v>
      </c>
      <c r="C33" s="15">
        <v>0.36</v>
      </c>
      <c r="D33" s="15">
        <v>1.25</v>
      </c>
      <c r="E33" s="17">
        <f>DIVIDE(F33,Summary!$D$22)</f>
        <v>0.01248702358</v>
      </c>
      <c r="F33" s="15">
        <v>197.87</v>
      </c>
      <c r="G33" s="18"/>
      <c r="H33" s="16">
        <f t="shared" si="3"/>
        <v>0.09775</v>
      </c>
      <c r="I33" s="19">
        <f t="shared" si="1"/>
        <v>0.1296</v>
      </c>
      <c r="J33" s="20">
        <f t="shared" si="2"/>
        <v>0.0001559257579</v>
      </c>
      <c r="K33" s="14"/>
    </row>
    <row r="34" ht="15.75" customHeight="1">
      <c r="A34" s="7" t="s">
        <v>42</v>
      </c>
      <c r="B34" s="8">
        <v>0.0139</v>
      </c>
      <c r="C34" s="8">
        <v>0.47</v>
      </c>
      <c r="D34" s="8">
        <v>2.23</v>
      </c>
      <c r="E34" s="10">
        <f>DIVIDE(F34,Summary!$D$22)</f>
        <v>0.007545729062</v>
      </c>
      <c r="F34" s="8">
        <v>119.57</v>
      </c>
      <c r="G34" s="11"/>
      <c r="H34" s="9">
        <f t="shared" si="3"/>
        <v>0.14773</v>
      </c>
      <c r="I34" s="12">
        <f t="shared" si="1"/>
        <v>0.2209</v>
      </c>
      <c r="J34" s="13">
        <f t="shared" si="2"/>
        <v>0.00005693802707</v>
      </c>
      <c r="K34" s="14"/>
    </row>
    <row r="35" ht="15.75" customHeight="1">
      <c r="A35" s="7" t="s">
        <v>43</v>
      </c>
      <c r="B35" s="15">
        <v>0.334</v>
      </c>
      <c r="C35" s="15">
        <v>0.42</v>
      </c>
      <c r="D35" s="15">
        <v>1.74</v>
      </c>
      <c r="E35" s="17">
        <f>DIVIDE(F35,Summary!$D$22)</f>
        <v>0.01167483379</v>
      </c>
      <c r="F35" s="15">
        <v>185.0</v>
      </c>
      <c r="G35" s="18"/>
      <c r="H35" s="16">
        <f t="shared" si="3"/>
        <v>0.12274</v>
      </c>
      <c r="I35" s="19">
        <f t="shared" si="1"/>
        <v>0.1764</v>
      </c>
      <c r="J35" s="20">
        <f t="shared" si="2"/>
        <v>0.0001363017441</v>
      </c>
      <c r="K35" s="14"/>
    </row>
    <row r="36" ht="15.75" customHeight="1">
      <c r="A36" s="7" t="s">
        <v>44</v>
      </c>
      <c r="B36" s="8">
        <v>0.1016</v>
      </c>
      <c r="C36" s="8">
        <v>0.18</v>
      </c>
      <c r="D36" s="8">
        <v>0.87</v>
      </c>
      <c r="E36" s="10">
        <f>DIVIDE(F36,Summary!$D$22)</f>
        <v>0.01127157872</v>
      </c>
      <c r="F36" s="8">
        <v>178.61</v>
      </c>
      <c r="G36" s="11"/>
      <c r="H36" s="9">
        <f t="shared" si="3"/>
        <v>0.07837</v>
      </c>
      <c r="I36" s="12">
        <f t="shared" si="1"/>
        <v>0.0324</v>
      </c>
      <c r="J36" s="13">
        <f t="shared" si="2"/>
        <v>0.0001270484869</v>
      </c>
      <c r="K36" s="14"/>
    </row>
    <row r="37" ht="15.75" customHeight="1">
      <c r="A37" s="21" t="s">
        <v>45</v>
      </c>
      <c r="B37" s="15">
        <v>0.3372</v>
      </c>
      <c r="C37" s="15">
        <v>0.47295</v>
      </c>
      <c r="D37" s="15">
        <v>0.68</v>
      </c>
      <c r="E37" s="17">
        <f>DIVIDE(F37,Summary!$D$22)</f>
        <v>0.01526815831</v>
      </c>
      <c r="F37" s="15">
        <v>241.94</v>
      </c>
      <c r="G37" s="18"/>
      <c r="H37" s="16">
        <f t="shared" si="3"/>
        <v>0.06868</v>
      </c>
      <c r="I37" s="19">
        <f t="shared" si="1"/>
        <v>0.2236817025</v>
      </c>
      <c r="J37" s="20">
        <f t="shared" si="2"/>
        <v>0.0002331166582</v>
      </c>
      <c r="K37" s="14"/>
    </row>
    <row r="38" ht="15.75" customHeight="1">
      <c r="A38" s="7" t="s">
        <v>46</v>
      </c>
      <c r="B38" s="8">
        <v>0.6442</v>
      </c>
      <c r="C38" s="8">
        <v>0.5</v>
      </c>
      <c r="D38" s="8">
        <v>-0.06</v>
      </c>
      <c r="E38" s="10">
        <f>DIVIDE(F38,Summary!$D$22)</f>
        <v>0.01164895984</v>
      </c>
      <c r="F38" s="8">
        <v>184.59</v>
      </c>
      <c r="G38" s="11"/>
      <c r="H38" s="9">
        <f t="shared" si="3"/>
        <v>0.03094</v>
      </c>
      <c r="I38" s="12">
        <f t="shared" si="1"/>
        <v>0.25</v>
      </c>
      <c r="J38" s="13">
        <f t="shared" si="2"/>
        <v>0.0001356982652</v>
      </c>
      <c r="K38" s="14"/>
    </row>
    <row r="39" ht="15.75" customHeight="1">
      <c r="A39" s="7" t="s">
        <v>47</v>
      </c>
      <c r="B39" s="15">
        <v>0.1838</v>
      </c>
      <c r="C39" s="15">
        <v>0.2619</v>
      </c>
      <c r="D39" s="15">
        <v>0.93</v>
      </c>
      <c r="E39" s="17">
        <f>DIVIDE(F39,Summary!$D$22)</f>
        <v>0.008986466659</v>
      </c>
      <c r="F39" s="15">
        <v>142.4</v>
      </c>
      <c r="G39" s="18"/>
      <c r="H39" s="16">
        <f t="shared" si="3"/>
        <v>0.08143</v>
      </c>
      <c r="I39" s="19">
        <f t="shared" si="1"/>
        <v>0.06859161</v>
      </c>
      <c r="J39" s="20">
        <f t="shared" si="2"/>
        <v>0.00008075658301</v>
      </c>
      <c r="K39" s="14"/>
    </row>
    <row r="40" ht="15.75" customHeight="1">
      <c r="A40" s="7" t="s">
        <v>48</v>
      </c>
      <c r="B40" s="8">
        <v>0.3995</v>
      </c>
      <c r="C40" s="8">
        <v>0.45</v>
      </c>
      <c r="D40" s="8">
        <v>0.35</v>
      </c>
      <c r="E40" s="10">
        <f>DIVIDE(F40,Summary!$D$22)</f>
        <v>0.007572865162</v>
      </c>
      <c r="F40" s="8">
        <v>120.0</v>
      </c>
      <c r="G40" s="11"/>
      <c r="H40" s="9">
        <f t="shared" si="3"/>
        <v>0.05185</v>
      </c>
      <c r="I40" s="12">
        <f t="shared" si="1"/>
        <v>0.2025</v>
      </c>
      <c r="J40" s="13">
        <f t="shared" si="2"/>
        <v>0.00005734828676</v>
      </c>
      <c r="K40" s="14"/>
    </row>
    <row r="41" ht="15.75" customHeight="1">
      <c r="A41" s="7" t="s">
        <v>49</v>
      </c>
      <c r="B41" s="15">
        <v>1.5809</v>
      </c>
      <c r="C41" s="15">
        <v>0.0356</v>
      </c>
      <c r="D41" s="15">
        <v>1.36</v>
      </c>
      <c r="E41" s="17">
        <f>DIVIDE(F41,Summary!$D$22)</f>
        <v>0.01258925726</v>
      </c>
      <c r="F41" s="15">
        <v>199.49</v>
      </c>
      <c r="G41" s="18"/>
      <c r="H41" s="16">
        <f t="shared" si="3"/>
        <v>0.10336</v>
      </c>
      <c r="I41" s="19">
        <f t="shared" si="1"/>
        <v>0.00126736</v>
      </c>
      <c r="J41" s="20">
        <f t="shared" si="2"/>
        <v>0.0001584893984</v>
      </c>
      <c r="K41" s="14"/>
    </row>
    <row r="42" ht="15.75" customHeight="1">
      <c r="A42" s="7" t="s">
        <v>50</v>
      </c>
      <c r="B42" s="8">
        <v>0.2327</v>
      </c>
      <c r="C42" s="8">
        <v>0.0761</v>
      </c>
      <c r="D42" s="8">
        <v>0.67</v>
      </c>
      <c r="E42" s="10">
        <f>DIVIDE(F42,Summary!$D$22)</f>
        <v>0.009466081452</v>
      </c>
      <c r="F42" s="8">
        <v>150.0</v>
      </c>
      <c r="G42" s="11"/>
      <c r="H42" s="9">
        <f t="shared" si="3"/>
        <v>0.06817</v>
      </c>
      <c r="I42" s="12">
        <f t="shared" si="1"/>
        <v>0.00579121</v>
      </c>
      <c r="J42" s="13">
        <f t="shared" si="2"/>
        <v>0.00008960669806</v>
      </c>
      <c r="K42" s="14"/>
    </row>
    <row r="43" ht="15.75" customHeight="1">
      <c r="A43" s="7" t="s">
        <v>51</v>
      </c>
      <c r="B43" s="15">
        <v>-0.0018</v>
      </c>
      <c r="C43" s="15">
        <v>0.19625</v>
      </c>
      <c r="D43" s="15">
        <f>(0.67+0.68+0.68)/3</f>
        <v>0.6766666667</v>
      </c>
      <c r="E43" s="17">
        <f>DIVIDE(F43,Summary!$D$22)</f>
        <v>0.006942424137</v>
      </c>
      <c r="F43" s="15">
        <v>110.01</v>
      </c>
      <c r="G43" s="18"/>
      <c r="H43" s="16">
        <f t="shared" si="3"/>
        <v>0.06851</v>
      </c>
      <c r="I43" s="19">
        <f t="shared" si="1"/>
        <v>0.0385140625</v>
      </c>
      <c r="J43" s="20">
        <f t="shared" si="2"/>
        <v>0.0000481972529</v>
      </c>
      <c r="K43" s="14"/>
    </row>
    <row r="44" ht="15.75" customHeight="1">
      <c r="A44" s="7" t="s">
        <v>52</v>
      </c>
      <c r="B44" s="8">
        <v>0.2378</v>
      </c>
      <c r="C44" s="8">
        <f>(0.192+0.255+0.289)/3</f>
        <v>0.2453333333</v>
      </c>
      <c r="D44" s="8">
        <v>1.24</v>
      </c>
      <c r="E44" s="10">
        <f>DIVIDE(F44,Summary!$D$22)</f>
        <v>0.006310720968</v>
      </c>
      <c r="F44" s="8">
        <v>100.0</v>
      </c>
      <c r="G44" s="11"/>
      <c r="H44" s="9">
        <f t="shared" si="3"/>
        <v>0.09724</v>
      </c>
      <c r="I44" s="12">
        <f t="shared" si="1"/>
        <v>0.06018844444</v>
      </c>
      <c r="J44" s="13">
        <f t="shared" si="2"/>
        <v>0.00003982519914</v>
      </c>
      <c r="K44" s="14"/>
    </row>
    <row r="45" ht="15.75" customHeight="1">
      <c r="A45" s="7" t="s">
        <v>53</v>
      </c>
      <c r="B45" s="15">
        <v>0.1628</v>
      </c>
      <c r="C45" s="15">
        <v>0.072</v>
      </c>
      <c r="D45" s="15">
        <v>1.09</v>
      </c>
      <c r="E45" s="17">
        <f>DIVIDE(F45,Summary!$D$22)</f>
        <v>0.008835640428</v>
      </c>
      <c r="F45" s="15">
        <v>140.01</v>
      </c>
      <c r="G45" s="18"/>
      <c r="H45" s="16">
        <f t="shared" si="3"/>
        <v>0.08959</v>
      </c>
      <c r="I45" s="19">
        <f t="shared" si="1"/>
        <v>0.005184</v>
      </c>
      <c r="J45" s="20">
        <f t="shared" si="2"/>
        <v>0.00007806854177</v>
      </c>
      <c r="K45" s="14"/>
    </row>
    <row r="46" ht="15.75" customHeight="1">
      <c r="A46" s="7" t="s">
        <v>54</v>
      </c>
      <c r="B46" s="8">
        <v>0.2767</v>
      </c>
      <c r="C46" s="8">
        <v>0.0654</v>
      </c>
      <c r="D46" s="8">
        <v>0.66</v>
      </c>
      <c r="E46" s="10">
        <f>DIVIDE(F46,Summary!$D$22)</f>
        <v>0.008140830049</v>
      </c>
      <c r="F46" s="8">
        <v>129.0</v>
      </c>
      <c r="G46" s="11"/>
      <c r="H46" s="9">
        <f t="shared" si="3"/>
        <v>0.06766</v>
      </c>
      <c r="I46" s="12">
        <f t="shared" si="1"/>
        <v>0.00427716</v>
      </c>
      <c r="J46" s="13">
        <f t="shared" si="2"/>
        <v>0.00006627311389</v>
      </c>
      <c r="K46" s="14"/>
    </row>
    <row r="47" ht="15.75" customHeight="1">
      <c r="A47" s="7" t="s">
        <v>55</v>
      </c>
      <c r="B47" s="15">
        <v>0.2597</v>
      </c>
      <c r="C47" s="15">
        <v>0.0558</v>
      </c>
      <c r="D47" s="15">
        <v>1.32</v>
      </c>
      <c r="E47" s="17">
        <f>DIVIDE(F47,Summary!$D$22)</f>
        <v>0.006310720968</v>
      </c>
      <c r="F47" s="15">
        <v>100.0</v>
      </c>
      <c r="G47" s="18"/>
      <c r="H47" s="16">
        <f t="shared" si="3"/>
        <v>0.10132</v>
      </c>
      <c r="I47" s="19">
        <f t="shared" si="1"/>
        <v>0.00311364</v>
      </c>
      <c r="J47" s="20">
        <f t="shared" si="2"/>
        <v>0.00003982519914</v>
      </c>
      <c r="K47" s="14"/>
    </row>
    <row r="48" ht="15.75" customHeight="1">
      <c r="A48" s="7" t="s">
        <v>56</v>
      </c>
      <c r="B48" s="8">
        <v>0.2587</v>
      </c>
      <c r="C48" s="8">
        <v>0.1327</v>
      </c>
      <c r="D48" s="8">
        <v>1.47</v>
      </c>
      <c r="E48" s="10">
        <f>DIVIDE(F48,Summary!$D$22)</f>
        <v>0.006879316928</v>
      </c>
      <c r="F48" s="8">
        <v>109.01</v>
      </c>
      <c r="G48" s="11"/>
      <c r="H48" s="9">
        <f t="shared" si="3"/>
        <v>0.10897</v>
      </c>
      <c r="I48" s="12">
        <f t="shared" si="1"/>
        <v>0.01760929</v>
      </c>
      <c r="J48" s="13">
        <f t="shared" si="2"/>
        <v>0.00004732500139</v>
      </c>
      <c r="K48" s="14"/>
    </row>
    <row r="49" ht="15.75" customHeight="1">
      <c r="A49" s="22" t="s">
        <v>57</v>
      </c>
      <c r="B49" s="15">
        <v>0.3962</v>
      </c>
      <c r="C49" s="15">
        <v>0.2809</v>
      </c>
      <c r="D49" s="15">
        <v>1.21</v>
      </c>
      <c r="E49" s="17">
        <f>DIVIDE(F49,Summary!$D$22)</f>
        <v>0.007881459417</v>
      </c>
      <c r="F49" s="15">
        <v>124.89</v>
      </c>
      <c r="G49" s="18"/>
      <c r="H49" s="16">
        <f t="shared" si="3"/>
        <v>0.09571</v>
      </c>
      <c r="I49" s="19">
        <f t="shared" si="1"/>
        <v>0.07890481</v>
      </c>
      <c r="J49" s="20">
        <f t="shared" si="2"/>
        <v>0.00006211740255</v>
      </c>
      <c r="K49" s="14"/>
    </row>
    <row r="50" ht="15.75" customHeight="1">
      <c r="A50" s="7" t="s">
        <v>58</v>
      </c>
      <c r="B50" s="8">
        <v>0.3166</v>
      </c>
      <c r="C50" s="8">
        <v>0.3245</v>
      </c>
      <c r="D50" s="8">
        <v>0.59</v>
      </c>
      <c r="E50" s="10">
        <f>DIVIDE(F50,Summary!$D$22)</f>
        <v>0.006878685855</v>
      </c>
      <c r="F50" s="8">
        <v>109.0</v>
      </c>
      <c r="G50" s="11"/>
      <c r="H50" s="9">
        <f t="shared" si="3"/>
        <v>0.06409</v>
      </c>
      <c r="I50" s="12">
        <f t="shared" si="1"/>
        <v>0.10530025</v>
      </c>
      <c r="J50" s="13">
        <f t="shared" si="2"/>
        <v>0.0000473163191</v>
      </c>
      <c r="K50" s="14"/>
    </row>
    <row r="51" ht="15.75" customHeight="1">
      <c r="A51" s="7" t="s">
        <v>59</v>
      </c>
      <c r="B51" s="15">
        <v>0.1399</v>
      </c>
      <c r="C51" s="15">
        <v>0.0145</v>
      </c>
      <c r="D51" s="15">
        <v>0.76</v>
      </c>
      <c r="E51" s="17">
        <f>DIVIDE(F51,Summary!$D$22)</f>
        <v>0.006278536291</v>
      </c>
      <c r="F51" s="15">
        <v>99.49</v>
      </c>
      <c r="G51" s="18"/>
      <c r="H51" s="16">
        <f t="shared" si="3"/>
        <v>0.07276</v>
      </c>
      <c r="I51" s="19">
        <f t="shared" si="1"/>
        <v>0.00021025</v>
      </c>
      <c r="J51" s="20">
        <f t="shared" si="2"/>
        <v>0.00003942001796</v>
      </c>
      <c r="K51" s="14"/>
    </row>
    <row r="52" ht="15.75" customHeight="1">
      <c r="A52" s="7" t="s">
        <v>60</v>
      </c>
      <c r="B52" s="8">
        <v>-0.0423</v>
      </c>
      <c r="C52" s="8">
        <v>0.0615</v>
      </c>
      <c r="D52" s="8">
        <v>0.07</v>
      </c>
      <c r="E52" s="10">
        <f>DIVIDE(F52,Summary!$D$22)</f>
        <v>0.006306303464</v>
      </c>
      <c r="F52" s="8">
        <v>99.93</v>
      </c>
      <c r="G52" s="11"/>
      <c r="H52" s="9">
        <f t="shared" si="3"/>
        <v>0.03757</v>
      </c>
      <c r="I52" s="12">
        <f t="shared" si="1"/>
        <v>0.00378225</v>
      </c>
      <c r="J52" s="13">
        <f t="shared" si="2"/>
        <v>0.00003976946338</v>
      </c>
      <c r="K52" s="14"/>
    </row>
    <row r="53" ht="15.75" customHeight="1">
      <c r="A53" s="7" t="s">
        <v>61</v>
      </c>
      <c r="B53" s="15">
        <v>0.3201</v>
      </c>
      <c r="C53" s="15">
        <v>0.2825</v>
      </c>
      <c r="D53" s="15">
        <v>1.1</v>
      </c>
      <c r="E53" s="17">
        <f>DIVIDE(F53,Summary!$D$22)</f>
        <v>0.006626257017</v>
      </c>
      <c r="F53" s="15">
        <v>105.0</v>
      </c>
      <c r="G53" s="18"/>
      <c r="H53" s="16">
        <f t="shared" si="3"/>
        <v>0.0901</v>
      </c>
      <c r="I53" s="19">
        <f t="shared" si="1"/>
        <v>0.07980625</v>
      </c>
      <c r="J53" s="20">
        <f t="shared" si="2"/>
        <v>0.00004390728205</v>
      </c>
      <c r="K53" s="14"/>
    </row>
    <row r="54" ht="15.75" customHeight="1">
      <c r="A54" s="7" t="s">
        <v>62</v>
      </c>
      <c r="B54" s="8">
        <v>0.3373</v>
      </c>
      <c r="C54" s="8">
        <v>0.434</v>
      </c>
      <c r="D54" s="8">
        <v>1.19</v>
      </c>
      <c r="E54" s="10">
        <f>DIVIDE(F54,Summary!$D$22)</f>
        <v>0.005559745173</v>
      </c>
      <c r="F54" s="8">
        <v>88.1</v>
      </c>
      <c r="G54" s="11"/>
      <c r="H54" s="9">
        <f t="shared" si="3"/>
        <v>0.09469</v>
      </c>
      <c r="I54" s="12">
        <f t="shared" si="1"/>
        <v>0.188356</v>
      </c>
      <c r="J54" s="13">
        <f t="shared" si="2"/>
        <v>0.00003091076639</v>
      </c>
      <c r="K54" s="14"/>
    </row>
    <row r="55" ht="15.75" customHeight="1">
      <c r="A55" s="7" t="s">
        <v>63</v>
      </c>
      <c r="B55" s="15">
        <v>0.1899</v>
      </c>
      <c r="C55" s="15">
        <v>0.382</v>
      </c>
      <c r="D55" s="15">
        <v>1.52</v>
      </c>
      <c r="E55" s="17">
        <f>DIVIDE(F55,Summary!$D$22)</f>
        <v>0.003155360484</v>
      </c>
      <c r="F55" s="15">
        <v>50.0</v>
      </c>
      <c r="G55" s="18"/>
      <c r="H55" s="16">
        <f t="shared" si="3"/>
        <v>0.11152</v>
      </c>
      <c r="I55" s="19">
        <f t="shared" si="1"/>
        <v>0.145924</v>
      </c>
      <c r="J55" s="20">
        <f t="shared" si="2"/>
        <v>0.000009956299785</v>
      </c>
      <c r="K55" s="14"/>
    </row>
    <row r="56" ht="15.75" customHeight="1">
      <c r="A56" s="7" t="s">
        <v>64</v>
      </c>
      <c r="B56" s="8">
        <v>0.1405</v>
      </c>
      <c r="C56" s="8">
        <v>0.288</v>
      </c>
      <c r="D56" s="8">
        <v>1.21</v>
      </c>
      <c r="E56" s="10">
        <f>DIVIDE(F56,Summary!$D$22)</f>
        <v>0.002602541327</v>
      </c>
      <c r="F56" s="8">
        <v>41.24</v>
      </c>
      <c r="G56" s="11"/>
      <c r="H56" s="9">
        <f t="shared" si="3"/>
        <v>0.09571</v>
      </c>
      <c r="I56" s="12">
        <f t="shared" si="1"/>
        <v>0.082944</v>
      </c>
      <c r="J56" s="13">
        <f t="shared" si="2"/>
        <v>0.00000677322136</v>
      </c>
      <c r="K56" s="14"/>
    </row>
    <row r="57" ht="15.75" customHeight="1">
      <c r="A57" s="7" t="s">
        <v>65</v>
      </c>
      <c r="B57" s="15">
        <v>0.3742</v>
      </c>
      <c r="C57" s="15">
        <v>0.5395</v>
      </c>
      <c r="D57" s="15">
        <v>0.98</v>
      </c>
      <c r="E57" s="17">
        <f>DIVIDE(F57,Summary!$D$22)</f>
        <v>0.004179590497</v>
      </c>
      <c r="F57" s="15">
        <v>66.23</v>
      </c>
      <c r="G57" s="18"/>
      <c r="H57" s="16">
        <f t="shared" si="3"/>
        <v>0.08398</v>
      </c>
      <c r="I57" s="19">
        <f t="shared" si="1"/>
        <v>0.29106025</v>
      </c>
      <c r="J57" s="20">
        <f t="shared" si="2"/>
        <v>0.00001746897673</v>
      </c>
      <c r="K57" s="14"/>
    </row>
    <row r="58" ht="15.75" customHeight="1">
      <c r="A58" s="21" t="s">
        <v>66</v>
      </c>
      <c r="B58" s="8">
        <v>0.2933</v>
      </c>
      <c r="C58" s="8">
        <v>0.249</v>
      </c>
      <c r="D58" s="8">
        <v>0.9</v>
      </c>
      <c r="E58" s="10">
        <f>DIVIDE(F58,Summary!$D$22)</f>
        <v>0.001710836455</v>
      </c>
      <c r="F58" s="8">
        <v>27.11</v>
      </c>
      <c r="G58" s="11"/>
      <c r="H58" s="9">
        <f t="shared" si="3"/>
        <v>0.0799</v>
      </c>
      <c r="I58" s="12">
        <f t="shared" si="1"/>
        <v>0.062001</v>
      </c>
      <c r="J58" s="13">
        <f t="shared" si="2"/>
        <v>0.000002926961374</v>
      </c>
      <c r="K58" s="14"/>
    </row>
    <row r="59" ht="15.75" customHeight="1">
      <c r="A59" s="7" t="s">
        <v>67</v>
      </c>
      <c r="B59" s="15">
        <v>14.3682</v>
      </c>
      <c r="C59" s="15">
        <v>0.5053</v>
      </c>
      <c r="D59" s="15">
        <v>1.28</v>
      </c>
      <c r="E59" s="17">
        <f>DIVIDE(F59,Summary!$D$22)</f>
        <v>0.009466081452</v>
      </c>
      <c r="F59" s="15">
        <v>150.0</v>
      </c>
      <c r="G59" s="18"/>
      <c r="H59" s="16">
        <f t="shared" si="3"/>
        <v>0.09928</v>
      </c>
      <c r="I59" s="19">
        <f t="shared" si="1"/>
        <v>0.25532809</v>
      </c>
      <c r="J59" s="20">
        <f t="shared" si="2"/>
        <v>0.00008960669806</v>
      </c>
      <c r="K59" s="14"/>
    </row>
    <row r="60" ht="15.75" customHeight="1">
      <c r="A60" s="7" t="s">
        <v>68</v>
      </c>
      <c r="B60" s="8">
        <v>1.551</v>
      </c>
      <c r="C60" s="8">
        <v>0.733</v>
      </c>
      <c r="D60" s="8">
        <v>1.79</v>
      </c>
      <c r="E60" s="10">
        <f>DIVIDE(F60,Summary!$D$22)</f>
        <v>0.005285228811</v>
      </c>
      <c r="F60" s="8">
        <v>83.75</v>
      </c>
      <c r="G60" s="11"/>
      <c r="H60" s="9">
        <f t="shared" si="3"/>
        <v>0.12529</v>
      </c>
      <c r="I60" s="12">
        <f t="shared" si="1"/>
        <v>0.537289</v>
      </c>
      <c r="J60" s="13">
        <f t="shared" si="2"/>
        <v>0.00002793364358</v>
      </c>
      <c r="K60" s="14"/>
    </row>
    <row r="61" ht="15.75" customHeight="1">
      <c r="A61" s="22" t="s">
        <v>69</v>
      </c>
      <c r="B61" s="15">
        <v>0.8217</v>
      </c>
      <c r="C61" s="15">
        <v>0.315</v>
      </c>
      <c r="D61" s="15">
        <v>1.164</v>
      </c>
      <c r="E61" s="17">
        <f>DIVIDE(F61,Summary!$D$22)</f>
        <v>0.0006512664039</v>
      </c>
      <c r="F61" s="15">
        <v>10.32</v>
      </c>
      <c r="G61" s="18"/>
      <c r="H61" s="16">
        <f t="shared" si="3"/>
        <v>0.093364</v>
      </c>
      <c r="I61" s="19">
        <f t="shared" si="1"/>
        <v>0.099225</v>
      </c>
      <c r="J61" s="20">
        <f t="shared" si="2"/>
        <v>0.0000004241479289</v>
      </c>
      <c r="K61" s="14"/>
    </row>
    <row r="62" ht="15.75" customHeight="1">
      <c r="A62" s="23" t="s">
        <v>70</v>
      </c>
      <c r="B62" s="24">
        <v>5.0</v>
      </c>
      <c r="C62" s="24">
        <v>0.5877</v>
      </c>
      <c r="D62" s="24">
        <v>-0.69</v>
      </c>
      <c r="E62" s="25">
        <f>DIVIDE(F62,Summary!$D$22)</f>
        <v>0.005503579756</v>
      </c>
      <c r="F62" s="24">
        <v>87.21</v>
      </c>
      <c r="G62" s="25"/>
      <c r="H62" s="26">
        <f t="shared" si="3"/>
        <v>-0.00119</v>
      </c>
      <c r="I62" s="27">
        <f t="shared" si="1"/>
        <v>0.34539129</v>
      </c>
      <c r="J62" s="28">
        <f t="shared" si="2"/>
        <v>0.00003028939014</v>
      </c>
      <c r="K62" s="14"/>
    </row>
    <row r="63" ht="15.75" customHeight="1">
      <c r="A63" s="29"/>
      <c r="B63" s="30"/>
      <c r="C63" s="30"/>
      <c r="D63" s="30"/>
      <c r="E63" s="31"/>
      <c r="F63" s="30"/>
      <c r="G63" s="31"/>
      <c r="H63" s="32"/>
      <c r="I63" s="14"/>
      <c r="J63" s="14"/>
      <c r="K63" s="14"/>
    </row>
    <row r="64" ht="15.75" customHeight="1">
      <c r="A64" s="29"/>
    </row>
    <row r="65" ht="15.75" customHeight="1"/>
    <row r="66" ht="15.75" customHeight="1"/>
    <row r="67" ht="15.75" customHeight="1"/>
    <row r="68" ht="15.75" customHeight="1"/>
    <row r="69" ht="15.75" customHeight="1"/>
    <row r="70" ht="15.75" customHeight="1"/>
    <row r="71" ht="15.75" customHeight="1">
      <c r="B71" s="33"/>
      <c r="C71" s="33"/>
      <c r="D71" s="33"/>
      <c r="E71" s="34"/>
      <c r="F71" s="33"/>
      <c r="G71" s="34"/>
      <c r="H71" s="33"/>
      <c r="I71" s="34"/>
      <c r="J71" s="34"/>
      <c r="K71" s="34"/>
    </row>
    <row r="72" ht="15.75" customHeight="1">
      <c r="B72" s="35"/>
      <c r="C72" s="35"/>
      <c r="D72" s="35"/>
      <c r="F72" s="35"/>
      <c r="H72" s="35"/>
    </row>
    <row r="73" ht="15.75" customHeight="1">
      <c r="B73" s="35"/>
      <c r="C73" s="35"/>
      <c r="D73" s="35"/>
      <c r="F73" s="35"/>
      <c r="H73" s="35"/>
    </row>
    <row r="74" ht="15.75" customHeight="1">
      <c r="B74" s="35"/>
      <c r="C74" s="35"/>
      <c r="D74" s="35"/>
      <c r="F74" s="35"/>
      <c r="H74" s="35"/>
    </row>
    <row r="75" ht="15.75" customHeight="1">
      <c r="B75" s="35"/>
      <c r="C75" s="35"/>
      <c r="D75" s="35"/>
      <c r="F75" s="35"/>
      <c r="H75" s="35"/>
    </row>
    <row r="76" ht="15.75" customHeight="1">
      <c r="B76" s="35"/>
      <c r="C76" s="35"/>
      <c r="D76" s="35"/>
      <c r="F76" s="35"/>
      <c r="H76" s="35"/>
    </row>
    <row r="77" ht="15.75" customHeight="1">
      <c r="B77" s="35"/>
      <c r="C77" s="35"/>
      <c r="D77" s="35"/>
      <c r="F77" s="35"/>
      <c r="H77" s="35"/>
    </row>
    <row r="78" ht="15.75" customHeight="1">
      <c r="B78" s="35"/>
      <c r="C78" s="35"/>
      <c r="D78" s="35"/>
      <c r="F78" s="35"/>
      <c r="H78" s="35"/>
    </row>
    <row r="79" ht="15.75" customHeight="1">
      <c r="B79" s="35"/>
      <c r="C79" s="35"/>
      <c r="D79" s="35"/>
      <c r="F79" s="35"/>
      <c r="H79" s="35"/>
    </row>
    <row r="80" ht="15.75" customHeight="1">
      <c r="B80" s="35"/>
      <c r="C80" s="35"/>
      <c r="D80" s="35"/>
      <c r="F80" s="35"/>
      <c r="H80" s="35"/>
    </row>
    <row r="81" ht="15.75" customHeight="1">
      <c r="B81" s="35"/>
      <c r="C81" s="35"/>
      <c r="D81" s="35"/>
      <c r="F81" s="35"/>
      <c r="H81" s="35"/>
    </row>
    <row r="82" ht="15.75" customHeight="1">
      <c r="B82" s="35"/>
      <c r="C82" s="35"/>
      <c r="D82" s="35"/>
      <c r="F82" s="35"/>
      <c r="H82" s="35"/>
    </row>
    <row r="83" ht="15.75" customHeight="1">
      <c r="B83" s="35"/>
      <c r="C83" s="35"/>
      <c r="D83" s="35"/>
      <c r="F83" s="35"/>
      <c r="H83" s="35"/>
    </row>
    <row r="84" ht="15.75" customHeight="1">
      <c r="B84" s="35"/>
      <c r="C84" s="35"/>
      <c r="D84" s="35"/>
      <c r="F84" s="35"/>
      <c r="H84" s="35"/>
    </row>
    <row r="85" ht="15.75" customHeight="1">
      <c r="B85" s="35"/>
      <c r="C85" s="35"/>
      <c r="D85" s="35"/>
      <c r="F85" s="35"/>
      <c r="H85" s="35"/>
    </row>
    <row r="86" ht="15.75" customHeight="1">
      <c r="B86" s="35"/>
      <c r="C86" s="35"/>
      <c r="D86" s="35"/>
      <c r="F86" s="35"/>
      <c r="H86" s="35"/>
    </row>
    <row r="87" ht="15.75" customHeight="1">
      <c r="B87" s="35"/>
      <c r="C87" s="35"/>
      <c r="D87" s="35"/>
      <c r="F87" s="35"/>
      <c r="H87" s="35"/>
    </row>
    <row r="88" ht="15.75" customHeight="1">
      <c r="B88" s="35"/>
      <c r="C88" s="35"/>
      <c r="D88" s="35"/>
      <c r="F88" s="35"/>
      <c r="H88" s="35"/>
    </row>
    <row r="89" ht="15.75" customHeight="1">
      <c r="B89" s="35"/>
      <c r="C89" s="35"/>
      <c r="D89" s="35"/>
      <c r="F89" s="35"/>
      <c r="H89" s="35"/>
    </row>
    <row r="90" ht="15.75" customHeight="1">
      <c r="B90" s="35"/>
      <c r="C90" s="35"/>
      <c r="D90" s="35"/>
      <c r="F90" s="35"/>
      <c r="H90" s="35"/>
    </row>
    <row r="91" ht="15.75" customHeight="1">
      <c r="B91" s="35"/>
      <c r="C91" s="35"/>
      <c r="D91" s="35"/>
      <c r="F91" s="35"/>
      <c r="H91" s="35"/>
    </row>
    <row r="92" ht="15.75" customHeight="1">
      <c r="B92" s="35"/>
      <c r="C92" s="35"/>
      <c r="D92" s="35"/>
      <c r="F92" s="35"/>
      <c r="H92" s="35"/>
    </row>
    <row r="93" ht="15.75" customHeight="1">
      <c r="B93" s="35"/>
      <c r="C93" s="35"/>
      <c r="D93" s="35"/>
      <c r="F93" s="35"/>
      <c r="H93" s="35"/>
    </row>
    <row r="94" ht="15.75" customHeight="1">
      <c r="B94" s="35"/>
      <c r="C94" s="35"/>
      <c r="D94" s="35"/>
      <c r="F94" s="35"/>
      <c r="H94" s="35"/>
    </row>
    <row r="95" ht="15.75" customHeight="1">
      <c r="B95" s="35"/>
      <c r="C95" s="35"/>
      <c r="D95" s="35"/>
      <c r="F95" s="35"/>
      <c r="H95" s="35"/>
    </row>
    <row r="96" ht="15.75" customHeight="1">
      <c r="B96" s="35"/>
      <c r="C96" s="35"/>
      <c r="D96" s="35"/>
      <c r="F96" s="35"/>
      <c r="H96" s="35"/>
    </row>
    <row r="97" ht="15.75" customHeight="1">
      <c r="B97" s="35"/>
      <c r="C97" s="35"/>
      <c r="D97" s="35"/>
      <c r="F97" s="35"/>
      <c r="H97" s="35"/>
    </row>
    <row r="98" ht="15.75" customHeight="1">
      <c r="B98" s="35"/>
      <c r="C98" s="35"/>
      <c r="D98" s="35"/>
      <c r="F98" s="35"/>
      <c r="H98" s="35"/>
    </row>
    <row r="99" ht="15.75" customHeight="1">
      <c r="B99" s="35"/>
      <c r="C99" s="35"/>
      <c r="D99" s="35"/>
      <c r="F99" s="35"/>
      <c r="H99" s="35"/>
    </row>
    <row r="100" ht="15.75" customHeight="1">
      <c r="B100" s="35"/>
      <c r="C100" s="35"/>
      <c r="D100" s="35"/>
      <c r="F100" s="35"/>
      <c r="H100" s="35"/>
    </row>
    <row r="101" ht="15.75" customHeight="1">
      <c r="B101" s="35"/>
      <c r="C101" s="35"/>
      <c r="D101" s="35"/>
      <c r="F101" s="35"/>
      <c r="H101" s="35"/>
    </row>
    <row r="102" ht="15.75" customHeight="1">
      <c r="B102" s="35"/>
      <c r="C102" s="35"/>
      <c r="D102" s="35"/>
      <c r="F102" s="35"/>
      <c r="H102" s="35"/>
    </row>
    <row r="103" ht="15.75" customHeight="1">
      <c r="B103" s="35"/>
      <c r="C103" s="35"/>
      <c r="D103" s="35"/>
      <c r="F103" s="35"/>
      <c r="H103" s="35"/>
    </row>
    <row r="104" ht="15.75" customHeight="1">
      <c r="B104" s="35"/>
      <c r="C104" s="35"/>
      <c r="D104" s="35"/>
      <c r="F104" s="35"/>
      <c r="H104" s="35"/>
    </row>
    <row r="105" ht="15.75" customHeight="1">
      <c r="B105" s="35"/>
      <c r="C105" s="35"/>
      <c r="D105" s="35"/>
      <c r="F105" s="35"/>
      <c r="H105" s="35"/>
    </row>
    <row r="106" ht="15.75" customHeight="1">
      <c r="B106" s="35"/>
      <c r="C106" s="35"/>
      <c r="D106" s="35"/>
      <c r="F106" s="35"/>
      <c r="H106" s="35"/>
    </row>
    <row r="107" ht="15.75" customHeight="1">
      <c r="B107" s="35"/>
      <c r="C107" s="35"/>
      <c r="D107" s="35"/>
      <c r="F107" s="35"/>
      <c r="H107" s="35"/>
    </row>
    <row r="108" ht="15.75" customHeight="1">
      <c r="B108" s="35"/>
      <c r="C108" s="35"/>
      <c r="D108" s="35"/>
      <c r="F108" s="35"/>
      <c r="H108" s="35"/>
    </row>
    <row r="109" ht="15.75" customHeight="1">
      <c r="B109" s="35"/>
      <c r="C109" s="35"/>
      <c r="D109" s="35"/>
      <c r="F109" s="35"/>
      <c r="H109" s="35"/>
    </row>
    <row r="110" ht="15.75" customHeight="1">
      <c r="B110" s="35"/>
      <c r="C110" s="35"/>
      <c r="D110" s="35"/>
      <c r="F110" s="35"/>
      <c r="H110" s="35"/>
    </row>
    <row r="111" ht="15.75" customHeight="1">
      <c r="B111" s="35"/>
      <c r="C111" s="35"/>
      <c r="D111" s="35"/>
      <c r="F111" s="35"/>
      <c r="H111" s="35"/>
    </row>
    <row r="112" ht="15.75" customHeight="1">
      <c r="B112" s="35"/>
      <c r="C112" s="35"/>
      <c r="D112" s="35"/>
      <c r="F112" s="35"/>
      <c r="H112" s="35"/>
    </row>
    <row r="113" ht="15.75" customHeight="1">
      <c r="B113" s="35"/>
      <c r="C113" s="35"/>
      <c r="D113" s="35"/>
      <c r="F113" s="35"/>
      <c r="H113" s="35"/>
    </row>
    <row r="114" ht="15.75" customHeight="1">
      <c r="B114" s="35"/>
      <c r="C114" s="35"/>
      <c r="D114" s="35"/>
      <c r="F114" s="35"/>
      <c r="H114" s="35"/>
    </row>
    <row r="115" ht="15.75" customHeight="1">
      <c r="B115" s="35"/>
      <c r="C115" s="35"/>
      <c r="D115" s="35"/>
      <c r="F115" s="35"/>
      <c r="H115" s="35"/>
    </row>
    <row r="116" ht="15.75" customHeight="1">
      <c r="B116" s="35"/>
      <c r="C116" s="35"/>
      <c r="D116" s="35"/>
      <c r="F116" s="35"/>
      <c r="H116" s="35"/>
    </row>
    <row r="117" ht="15.75" customHeight="1">
      <c r="B117" s="35"/>
      <c r="C117" s="35"/>
      <c r="D117" s="35"/>
      <c r="F117" s="35"/>
      <c r="H117" s="35"/>
    </row>
    <row r="118" ht="15.75" customHeight="1">
      <c r="B118" s="35"/>
      <c r="C118" s="35"/>
      <c r="D118" s="35"/>
      <c r="F118" s="35"/>
      <c r="H118" s="35"/>
    </row>
    <row r="119" ht="15.75" customHeight="1">
      <c r="B119" s="35"/>
      <c r="C119" s="35"/>
      <c r="D119" s="35"/>
      <c r="F119" s="35"/>
      <c r="H119" s="35"/>
    </row>
    <row r="120" ht="15.75" customHeight="1">
      <c r="B120" s="35"/>
      <c r="C120" s="35"/>
      <c r="D120" s="35"/>
      <c r="F120" s="35"/>
      <c r="H120" s="35"/>
    </row>
    <row r="121" ht="15.75" customHeight="1">
      <c r="B121" s="35"/>
      <c r="C121" s="35"/>
      <c r="D121" s="35"/>
      <c r="F121" s="35"/>
      <c r="H121" s="35"/>
    </row>
    <row r="122" ht="15.75" customHeight="1">
      <c r="B122" s="35"/>
      <c r="C122" s="35"/>
      <c r="D122" s="35"/>
      <c r="F122" s="35"/>
      <c r="H122" s="35"/>
    </row>
    <row r="123" ht="15.75" customHeight="1">
      <c r="B123" s="35"/>
      <c r="C123" s="35"/>
      <c r="D123" s="35"/>
      <c r="F123" s="35"/>
      <c r="H123" s="35"/>
    </row>
    <row r="124" ht="15.75" customHeight="1">
      <c r="B124" s="35"/>
      <c r="C124" s="35"/>
      <c r="D124" s="35"/>
      <c r="F124" s="35"/>
      <c r="H124" s="35"/>
    </row>
    <row r="125" ht="15.75" customHeight="1">
      <c r="B125" s="35"/>
      <c r="C125" s="35"/>
      <c r="D125" s="35"/>
      <c r="F125" s="35"/>
      <c r="H125" s="35"/>
    </row>
    <row r="126" ht="15.75" customHeight="1">
      <c r="B126" s="35"/>
      <c r="C126" s="35"/>
      <c r="D126" s="35"/>
      <c r="F126" s="35"/>
      <c r="H126" s="35"/>
    </row>
    <row r="127" ht="15.75" customHeight="1">
      <c r="B127" s="35"/>
      <c r="C127" s="35"/>
      <c r="D127" s="35"/>
      <c r="F127" s="35"/>
      <c r="H127" s="35"/>
    </row>
    <row r="128" ht="15.75" customHeight="1">
      <c r="B128" s="35"/>
      <c r="C128" s="35"/>
      <c r="D128" s="35"/>
      <c r="F128" s="35"/>
      <c r="H128" s="35"/>
    </row>
    <row r="129" ht="15.75" customHeight="1">
      <c r="B129" s="35"/>
      <c r="C129" s="35"/>
      <c r="D129" s="35"/>
      <c r="F129" s="35"/>
      <c r="H129" s="35"/>
    </row>
    <row r="130" ht="15.75" customHeight="1">
      <c r="B130" s="35"/>
      <c r="C130" s="35"/>
      <c r="D130" s="35"/>
      <c r="F130" s="35"/>
      <c r="H130" s="35"/>
    </row>
    <row r="131" ht="15.75" customHeight="1">
      <c r="B131" s="35"/>
      <c r="C131" s="35"/>
      <c r="D131" s="35"/>
      <c r="F131" s="35"/>
      <c r="H131" s="35"/>
    </row>
    <row r="132" ht="15.75" customHeight="1">
      <c r="B132" s="35"/>
      <c r="C132" s="35"/>
      <c r="D132" s="35"/>
      <c r="F132" s="35"/>
      <c r="H132" s="35"/>
    </row>
    <row r="133" ht="15.75" customHeight="1">
      <c r="B133" s="35"/>
      <c r="C133" s="35"/>
      <c r="D133" s="35"/>
      <c r="F133" s="35"/>
      <c r="H133" s="35"/>
    </row>
    <row r="134" ht="15.75" customHeight="1">
      <c r="B134" s="35"/>
      <c r="C134" s="35"/>
      <c r="D134" s="35"/>
      <c r="F134" s="35"/>
      <c r="H134" s="35"/>
    </row>
    <row r="135" ht="15.75" customHeight="1">
      <c r="B135" s="35"/>
      <c r="C135" s="35"/>
      <c r="D135" s="35"/>
      <c r="F135" s="35"/>
      <c r="H135" s="35"/>
    </row>
    <row r="136" ht="15.75" customHeight="1">
      <c r="B136" s="35"/>
      <c r="C136" s="35"/>
      <c r="D136" s="35"/>
      <c r="F136" s="35"/>
      <c r="H136" s="35"/>
    </row>
    <row r="137" ht="15.75" customHeight="1">
      <c r="B137" s="35"/>
      <c r="C137" s="35"/>
      <c r="D137" s="35"/>
      <c r="F137" s="35"/>
      <c r="H137" s="35"/>
    </row>
    <row r="138" ht="15.75" customHeight="1">
      <c r="B138" s="35"/>
      <c r="C138" s="35"/>
      <c r="D138" s="35"/>
      <c r="F138" s="35"/>
      <c r="H138" s="35"/>
    </row>
    <row r="139" ht="15.75" customHeight="1">
      <c r="B139" s="35"/>
      <c r="C139" s="35"/>
      <c r="D139" s="35"/>
      <c r="F139" s="35"/>
      <c r="H139" s="35"/>
    </row>
    <row r="140" ht="15.75" customHeight="1">
      <c r="B140" s="35"/>
      <c r="C140" s="35"/>
      <c r="D140" s="35"/>
      <c r="F140" s="35"/>
      <c r="H140" s="35"/>
    </row>
    <row r="141" ht="15.75" customHeight="1">
      <c r="B141" s="35"/>
      <c r="C141" s="35"/>
      <c r="D141" s="35"/>
      <c r="F141" s="35"/>
      <c r="H141" s="35"/>
    </row>
    <row r="142" ht="15.75" customHeight="1">
      <c r="B142" s="35"/>
      <c r="C142" s="35"/>
      <c r="D142" s="35"/>
      <c r="F142" s="35"/>
      <c r="H142" s="35"/>
    </row>
    <row r="143" ht="15.75" customHeight="1">
      <c r="B143" s="35"/>
      <c r="C143" s="35"/>
      <c r="D143" s="35"/>
      <c r="F143" s="35"/>
      <c r="H143" s="35"/>
    </row>
    <row r="144" ht="15.75" customHeight="1">
      <c r="B144" s="35"/>
      <c r="C144" s="35"/>
      <c r="D144" s="35"/>
      <c r="F144" s="35"/>
      <c r="H144" s="35"/>
    </row>
    <row r="145" ht="15.75" customHeight="1">
      <c r="B145" s="35"/>
      <c r="C145" s="35"/>
      <c r="D145" s="35"/>
      <c r="F145" s="35"/>
      <c r="H145" s="35"/>
    </row>
    <row r="146" ht="15.75" customHeight="1">
      <c r="B146" s="35"/>
      <c r="C146" s="35"/>
      <c r="D146" s="35"/>
      <c r="F146" s="35"/>
      <c r="H146" s="35"/>
    </row>
    <row r="147" ht="15.75" customHeight="1">
      <c r="B147" s="35"/>
      <c r="C147" s="35"/>
      <c r="D147" s="35"/>
      <c r="F147" s="35"/>
      <c r="H147" s="35"/>
    </row>
    <row r="148" ht="15.75" customHeight="1">
      <c r="B148" s="35"/>
      <c r="C148" s="35"/>
      <c r="D148" s="35"/>
      <c r="F148" s="35"/>
      <c r="H148" s="35"/>
    </row>
    <row r="149" ht="15.75" customHeight="1">
      <c r="B149" s="35"/>
      <c r="C149" s="35"/>
      <c r="D149" s="35"/>
      <c r="F149" s="35"/>
      <c r="H149" s="35"/>
    </row>
    <row r="150" ht="15.75" customHeight="1">
      <c r="B150" s="35"/>
      <c r="C150" s="35"/>
      <c r="D150" s="35"/>
      <c r="F150" s="35"/>
      <c r="H150" s="35"/>
    </row>
    <row r="151" ht="15.75" customHeight="1">
      <c r="B151" s="35"/>
      <c r="C151" s="35"/>
      <c r="D151" s="35"/>
      <c r="F151" s="35"/>
      <c r="H151" s="35"/>
    </row>
    <row r="152" ht="15.75" customHeight="1">
      <c r="B152" s="35"/>
      <c r="C152" s="35"/>
      <c r="D152" s="35"/>
      <c r="F152" s="35"/>
      <c r="H152" s="35"/>
    </row>
    <row r="153" ht="15.75" customHeight="1">
      <c r="B153" s="35"/>
      <c r="C153" s="35"/>
      <c r="D153" s="35"/>
      <c r="F153" s="35"/>
      <c r="H153" s="35"/>
    </row>
    <row r="154" ht="15.75" customHeight="1">
      <c r="B154" s="35"/>
      <c r="C154" s="35"/>
      <c r="D154" s="35"/>
      <c r="F154" s="35"/>
      <c r="H154" s="35"/>
    </row>
    <row r="155" ht="15.75" customHeight="1">
      <c r="B155" s="35"/>
      <c r="C155" s="35"/>
      <c r="D155" s="35"/>
      <c r="F155" s="35"/>
      <c r="H155" s="35"/>
    </row>
    <row r="156" ht="15.75" customHeight="1">
      <c r="B156" s="35"/>
      <c r="C156" s="35"/>
      <c r="D156" s="35"/>
      <c r="F156" s="35"/>
      <c r="H156" s="35"/>
    </row>
    <row r="157" ht="15.75" customHeight="1">
      <c r="B157" s="35"/>
      <c r="C157" s="35"/>
      <c r="D157" s="35"/>
      <c r="F157" s="35"/>
      <c r="H157" s="35"/>
    </row>
    <row r="158" ht="15.75" customHeight="1">
      <c r="B158" s="35"/>
      <c r="C158" s="35"/>
      <c r="D158" s="35"/>
      <c r="F158" s="35"/>
      <c r="H158" s="35"/>
    </row>
    <row r="159" ht="15.75" customHeight="1">
      <c r="B159" s="35"/>
      <c r="C159" s="35"/>
      <c r="D159" s="35"/>
      <c r="F159" s="35"/>
      <c r="H159" s="35"/>
    </row>
    <row r="160" ht="15.75" customHeight="1">
      <c r="B160" s="35"/>
      <c r="C160" s="35"/>
      <c r="D160" s="35"/>
      <c r="F160" s="35"/>
      <c r="H160" s="35"/>
    </row>
    <row r="161" ht="15.75" customHeight="1">
      <c r="B161" s="35"/>
      <c r="C161" s="35"/>
      <c r="D161" s="35"/>
      <c r="F161" s="35"/>
      <c r="H161" s="35"/>
    </row>
    <row r="162" ht="15.75" customHeight="1">
      <c r="B162" s="35"/>
      <c r="C162" s="35"/>
      <c r="D162" s="35"/>
      <c r="F162" s="35"/>
      <c r="H162" s="35"/>
    </row>
    <row r="163" ht="15.75" customHeight="1">
      <c r="B163" s="35"/>
      <c r="C163" s="35"/>
      <c r="D163" s="35"/>
      <c r="F163" s="35"/>
      <c r="H163" s="35"/>
    </row>
    <row r="164" ht="15.75" customHeight="1">
      <c r="B164" s="35"/>
      <c r="C164" s="35"/>
      <c r="D164" s="35"/>
      <c r="F164" s="35"/>
      <c r="H164" s="35"/>
    </row>
    <row r="165" ht="15.75" customHeight="1">
      <c r="B165" s="35"/>
      <c r="C165" s="35"/>
      <c r="D165" s="35"/>
      <c r="F165" s="35"/>
      <c r="H165" s="35"/>
    </row>
    <row r="166" ht="15.75" customHeight="1">
      <c r="B166" s="35"/>
      <c r="C166" s="35"/>
      <c r="D166" s="35"/>
      <c r="F166" s="35"/>
      <c r="H166" s="35"/>
    </row>
    <row r="167" ht="15.75" customHeight="1">
      <c r="B167" s="35"/>
      <c r="C167" s="35"/>
      <c r="D167" s="35"/>
      <c r="F167" s="35"/>
      <c r="H167" s="35"/>
    </row>
    <row r="168" ht="15.75" customHeight="1">
      <c r="B168" s="35"/>
      <c r="C168" s="35"/>
      <c r="D168" s="35"/>
      <c r="F168" s="35"/>
      <c r="H168" s="35"/>
    </row>
    <row r="169" ht="15.75" customHeight="1">
      <c r="B169" s="35"/>
      <c r="C169" s="35"/>
      <c r="D169" s="35"/>
      <c r="F169" s="35"/>
      <c r="H169" s="35"/>
    </row>
    <row r="170" ht="15.75" customHeight="1">
      <c r="B170" s="35"/>
      <c r="C170" s="35"/>
      <c r="D170" s="35"/>
      <c r="F170" s="35"/>
      <c r="H170" s="35"/>
    </row>
    <row r="171" ht="15.75" customHeight="1">
      <c r="B171" s="35"/>
      <c r="C171" s="35"/>
      <c r="D171" s="35"/>
      <c r="F171" s="35"/>
      <c r="H171" s="35"/>
    </row>
    <row r="172" ht="15.75" customHeight="1">
      <c r="B172" s="35"/>
      <c r="C172" s="35"/>
      <c r="D172" s="35"/>
      <c r="F172" s="35"/>
      <c r="H172" s="35"/>
    </row>
    <row r="173" ht="15.75" customHeight="1">
      <c r="B173" s="35"/>
      <c r="C173" s="35"/>
      <c r="D173" s="35"/>
      <c r="F173" s="35"/>
      <c r="H173" s="35"/>
    </row>
    <row r="174" ht="15.75" customHeight="1">
      <c r="B174" s="35"/>
      <c r="C174" s="35"/>
      <c r="D174" s="35"/>
      <c r="F174" s="35"/>
      <c r="H174" s="35"/>
    </row>
    <row r="175" ht="15.75" customHeight="1">
      <c r="B175" s="35"/>
      <c r="C175" s="35"/>
      <c r="D175" s="35"/>
      <c r="F175" s="35"/>
      <c r="H175" s="35"/>
    </row>
    <row r="176" ht="15.75" customHeight="1">
      <c r="B176" s="35"/>
      <c r="C176" s="35"/>
      <c r="D176" s="35"/>
      <c r="F176" s="35"/>
      <c r="H176" s="35"/>
    </row>
    <row r="177" ht="15.75" customHeight="1">
      <c r="B177" s="35"/>
      <c r="C177" s="35"/>
      <c r="D177" s="35"/>
      <c r="F177" s="35"/>
      <c r="H177" s="35"/>
    </row>
    <row r="178" ht="15.75" customHeight="1">
      <c r="B178" s="35"/>
      <c r="C178" s="35"/>
      <c r="D178" s="35"/>
      <c r="F178" s="35"/>
      <c r="H178" s="35"/>
    </row>
    <row r="179" ht="15.75" customHeight="1">
      <c r="B179" s="35"/>
      <c r="C179" s="35"/>
      <c r="D179" s="35"/>
      <c r="F179" s="35"/>
      <c r="H179" s="35"/>
    </row>
    <row r="180" ht="15.75" customHeight="1">
      <c r="B180" s="35"/>
      <c r="C180" s="35"/>
      <c r="D180" s="35"/>
      <c r="F180" s="35"/>
      <c r="H180" s="35"/>
    </row>
    <row r="181" ht="15.75" customHeight="1">
      <c r="B181" s="35"/>
      <c r="C181" s="35"/>
      <c r="D181" s="35"/>
      <c r="F181" s="35"/>
      <c r="H181" s="35"/>
    </row>
    <row r="182" ht="15.75" customHeight="1">
      <c r="B182" s="35"/>
      <c r="C182" s="35"/>
      <c r="D182" s="35"/>
      <c r="F182" s="35"/>
      <c r="H182" s="35"/>
    </row>
    <row r="183" ht="15.75" customHeight="1">
      <c r="B183" s="35"/>
      <c r="C183" s="35"/>
      <c r="D183" s="35"/>
      <c r="F183" s="35"/>
      <c r="H183" s="35"/>
    </row>
    <row r="184" ht="15.75" customHeight="1">
      <c r="B184" s="35"/>
      <c r="C184" s="35"/>
      <c r="D184" s="35"/>
      <c r="F184" s="35"/>
      <c r="H184" s="35"/>
    </row>
    <row r="185" ht="15.75" customHeight="1">
      <c r="B185" s="35"/>
      <c r="C185" s="35"/>
      <c r="D185" s="35"/>
      <c r="F185" s="35"/>
      <c r="H185" s="35"/>
    </row>
    <row r="186" ht="15.75" customHeight="1">
      <c r="B186" s="35"/>
      <c r="C186" s="35"/>
      <c r="D186" s="35"/>
      <c r="F186" s="35"/>
      <c r="H186" s="35"/>
    </row>
    <row r="187" ht="15.75" customHeight="1">
      <c r="B187" s="35"/>
      <c r="C187" s="35"/>
      <c r="D187" s="35"/>
      <c r="F187" s="35"/>
      <c r="H187" s="35"/>
    </row>
    <row r="188" ht="15.75" customHeight="1">
      <c r="B188" s="35"/>
      <c r="C188" s="35"/>
      <c r="D188" s="35"/>
      <c r="F188" s="35"/>
      <c r="H188" s="35"/>
    </row>
    <row r="189" ht="15.75" customHeight="1">
      <c r="B189" s="35"/>
      <c r="C189" s="35"/>
      <c r="D189" s="35"/>
      <c r="F189" s="35"/>
      <c r="H189" s="35"/>
    </row>
    <row r="190" ht="15.75" customHeight="1">
      <c r="B190" s="35"/>
      <c r="C190" s="35"/>
      <c r="D190" s="35"/>
      <c r="F190" s="35"/>
      <c r="H190" s="35"/>
    </row>
    <row r="191" ht="15.75" customHeight="1">
      <c r="B191" s="35"/>
      <c r="C191" s="35"/>
      <c r="D191" s="35"/>
      <c r="F191" s="35"/>
      <c r="H191" s="35"/>
    </row>
    <row r="192" ht="15.75" customHeight="1">
      <c r="B192" s="35"/>
      <c r="C192" s="35"/>
      <c r="D192" s="35"/>
      <c r="F192" s="35"/>
      <c r="H192" s="35"/>
    </row>
    <row r="193" ht="15.75" customHeight="1">
      <c r="B193" s="35"/>
      <c r="C193" s="35"/>
      <c r="D193" s="35"/>
      <c r="F193" s="35"/>
      <c r="H193" s="35"/>
    </row>
    <row r="194" ht="15.75" customHeight="1">
      <c r="B194" s="35"/>
      <c r="C194" s="35"/>
      <c r="D194" s="35"/>
      <c r="F194" s="35"/>
      <c r="H194" s="35"/>
    </row>
    <row r="195" ht="15.75" customHeight="1">
      <c r="B195" s="35"/>
      <c r="C195" s="35"/>
      <c r="D195" s="35"/>
      <c r="F195" s="35"/>
      <c r="H195" s="35"/>
    </row>
    <row r="196" ht="15.75" customHeight="1">
      <c r="B196" s="35"/>
      <c r="C196" s="35"/>
      <c r="D196" s="35"/>
      <c r="F196" s="35"/>
      <c r="H196" s="35"/>
    </row>
    <row r="197" ht="15.75" customHeight="1">
      <c r="B197" s="35"/>
      <c r="C197" s="35"/>
      <c r="D197" s="35"/>
      <c r="F197" s="35"/>
      <c r="H197" s="35"/>
    </row>
    <row r="198" ht="15.75" customHeight="1">
      <c r="B198" s="35"/>
      <c r="C198" s="35"/>
      <c r="D198" s="35"/>
      <c r="F198" s="35"/>
      <c r="H198" s="35"/>
    </row>
    <row r="199" ht="15.75" customHeight="1">
      <c r="B199" s="35"/>
      <c r="C199" s="35"/>
      <c r="D199" s="35"/>
      <c r="F199" s="35"/>
      <c r="H199" s="35"/>
    </row>
    <row r="200" ht="15.75" customHeight="1">
      <c r="B200" s="35"/>
      <c r="C200" s="35"/>
      <c r="D200" s="35"/>
      <c r="F200" s="35"/>
      <c r="H200" s="35"/>
    </row>
    <row r="201" ht="15.75" customHeight="1">
      <c r="B201" s="35"/>
      <c r="C201" s="35"/>
      <c r="D201" s="35"/>
      <c r="F201" s="35"/>
      <c r="H201" s="35"/>
    </row>
    <row r="202" ht="15.75" customHeight="1">
      <c r="B202" s="35"/>
      <c r="C202" s="35"/>
      <c r="D202" s="35"/>
      <c r="F202" s="35"/>
      <c r="H202" s="35"/>
    </row>
    <row r="203" ht="15.75" customHeight="1">
      <c r="B203" s="35"/>
      <c r="C203" s="35"/>
      <c r="D203" s="35"/>
      <c r="F203" s="35"/>
      <c r="H203" s="35"/>
    </row>
    <row r="204" ht="15.75" customHeight="1">
      <c r="B204" s="35"/>
      <c r="C204" s="35"/>
      <c r="D204" s="35"/>
      <c r="F204" s="35"/>
      <c r="H204" s="35"/>
    </row>
    <row r="205" ht="15.75" customHeight="1">
      <c r="B205" s="35"/>
      <c r="C205" s="35"/>
      <c r="D205" s="35"/>
      <c r="F205" s="35"/>
      <c r="H205" s="35"/>
    </row>
    <row r="206" ht="15.75" customHeight="1">
      <c r="B206" s="35"/>
      <c r="C206" s="35"/>
      <c r="D206" s="35"/>
      <c r="F206" s="35"/>
      <c r="H206" s="35"/>
    </row>
    <row r="207" ht="15.75" customHeight="1">
      <c r="B207" s="35"/>
      <c r="C207" s="35"/>
      <c r="D207" s="35"/>
      <c r="F207" s="35"/>
      <c r="H207" s="35"/>
    </row>
    <row r="208" ht="15.75" customHeight="1">
      <c r="B208" s="35"/>
      <c r="C208" s="35"/>
      <c r="D208" s="35"/>
      <c r="F208" s="35"/>
      <c r="H208" s="35"/>
    </row>
    <row r="209" ht="15.75" customHeight="1">
      <c r="B209" s="35"/>
      <c r="C209" s="35"/>
      <c r="D209" s="35"/>
      <c r="F209" s="35"/>
      <c r="H209" s="35"/>
    </row>
    <row r="210" ht="15.75" customHeight="1">
      <c r="B210" s="35"/>
      <c r="C210" s="35"/>
      <c r="D210" s="35"/>
      <c r="F210" s="35"/>
      <c r="H210" s="35"/>
    </row>
    <row r="211" ht="15.75" customHeight="1">
      <c r="B211" s="35"/>
      <c r="C211" s="35"/>
      <c r="D211" s="35"/>
      <c r="F211" s="35"/>
      <c r="H211" s="35"/>
    </row>
    <row r="212" ht="15.75" customHeight="1">
      <c r="B212" s="35"/>
      <c r="C212" s="35"/>
      <c r="D212" s="35"/>
      <c r="F212" s="35"/>
      <c r="H212" s="35"/>
    </row>
    <row r="213" ht="15.75" customHeight="1">
      <c r="B213" s="35"/>
      <c r="C213" s="35"/>
      <c r="D213" s="35"/>
      <c r="F213" s="35"/>
      <c r="H213" s="35"/>
    </row>
    <row r="214" ht="15.75" customHeight="1">
      <c r="B214" s="35"/>
      <c r="C214" s="35"/>
      <c r="D214" s="35"/>
      <c r="F214" s="35"/>
      <c r="H214" s="35"/>
    </row>
    <row r="215" ht="15.75" customHeight="1">
      <c r="B215" s="35"/>
      <c r="C215" s="35"/>
      <c r="D215" s="35"/>
      <c r="F215" s="35"/>
      <c r="H215" s="35"/>
    </row>
    <row r="216" ht="15.75" customHeight="1">
      <c r="B216" s="35"/>
      <c r="C216" s="35"/>
      <c r="D216" s="35"/>
      <c r="F216" s="35"/>
      <c r="H216" s="35"/>
    </row>
    <row r="217" ht="15.75" customHeight="1">
      <c r="B217" s="35"/>
      <c r="C217" s="35"/>
      <c r="D217" s="35"/>
      <c r="F217" s="35"/>
      <c r="H217" s="35"/>
    </row>
    <row r="218" ht="15.75" customHeight="1">
      <c r="B218" s="35"/>
      <c r="C218" s="35"/>
      <c r="D218" s="35"/>
      <c r="F218" s="35"/>
      <c r="H218" s="35"/>
    </row>
    <row r="219" ht="15.75" customHeight="1">
      <c r="B219" s="35"/>
      <c r="C219" s="35"/>
      <c r="D219" s="35"/>
      <c r="F219" s="35"/>
      <c r="H219" s="35"/>
    </row>
    <row r="220" ht="15.75" customHeight="1">
      <c r="B220" s="35"/>
      <c r="C220" s="35"/>
      <c r="D220" s="35"/>
      <c r="F220" s="35"/>
      <c r="H220" s="35"/>
    </row>
    <row r="221" ht="15.75" customHeight="1">
      <c r="B221" s="35"/>
      <c r="C221" s="35"/>
      <c r="D221" s="35"/>
      <c r="F221" s="35"/>
      <c r="H221" s="35"/>
    </row>
    <row r="222" ht="15.75" customHeight="1">
      <c r="B222" s="35"/>
      <c r="C222" s="35"/>
      <c r="D222" s="35"/>
      <c r="F222" s="35"/>
      <c r="H222" s="35"/>
    </row>
    <row r="223" ht="15.75" customHeight="1">
      <c r="B223" s="35"/>
      <c r="C223" s="35"/>
      <c r="D223" s="35"/>
      <c r="F223" s="35"/>
      <c r="H223" s="35"/>
    </row>
    <row r="224" ht="15.75" customHeight="1">
      <c r="B224" s="35"/>
      <c r="C224" s="35"/>
      <c r="D224" s="35"/>
      <c r="F224" s="35"/>
      <c r="H224" s="35"/>
    </row>
    <row r="225" ht="15.75" customHeight="1">
      <c r="B225" s="35"/>
      <c r="C225" s="35"/>
      <c r="D225" s="35"/>
      <c r="F225" s="35"/>
      <c r="H225" s="35"/>
    </row>
    <row r="226" ht="15.75" customHeight="1">
      <c r="B226" s="35"/>
      <c r="C226" s="35"/>
      <c r="D226" s="35"/>
      <c r="F226" s="35"/>
      <c r="H226" s="35"/>
    </row>
    <row r="227" ht="15.75" customHeight="1">
      <c r="B227" s="35"/>
      <c r="C227" s="35"/>
      <c r="D227" s="35"/>
      <c r="F227" s="35"/>
      <c r="H227" s="35"/>
    </row>
    <row r="228" ht="15.75" customHeight="1">
      <c r="B228" s="35"/>
      <c r="C228" s="35"/>
      <c r="D228" s="35"/>
      <c r="F228" s="35"/>
      <c r="H228" s="35"/>
    </row>
    <row r="229" ht="15.75" customHeight="1">
      <c r="B229" s="35"/>
      <c r="C229" s="35"/>
      <c r="D229" s="35"/>
      <c r="F229" s="35"/>
      <c r="H229" s="35"/>
    </row>
    <row r="230" ht="15.75" customHeight="1">
      <c r="B230" s="35"/>
      <c r="C230" s="35"/>
      <c r="D230" s="35"/>
      <c r="F230" s="35"/>
      <c r="H230" s="35"/>
    </row>
    <row r="231" ht="15.75" customHeight="1">
      <c r="B231" s="35"/>
      <c r="C231" s="35"/>
      <c r="D231" s="35"/>
      <c r="F231" s="35"/>
      <c r="H231" s="35"/>
    </row>
    <row r="232" ht="15.75" customHeight="1">
      <c r="B232" s="35"/>
      <c r="C232" s="35"/>
      <c r="D232" s="35"/>
      <c r="F232" s="35"/>
      <c r="H232" s="35"/>
    </row>
    <row r="233" ht="15.75" customHeight="1">
      <c r="B233" s="35"/>
      <c r="C233" s="35"/>
      <c r="D233" s="35"/>
      <c r="F233" s="35"/>
      <c r="H233" s="35"/>
    </row>
    <row r="234" ht="15.75" customHeight="1">
      <c r="B234" s="35"/>
      <c r="C234" s="35"/>
      <c r="D234" s="35"/>
      <c r="F234" s="35"/>
      <c r="H234" s="35"/>
    </row>
    <row r="235" ht="15.75" customHeight="1">
      <c r="B235" s="35"/>
      <c r="C235" s="35"/>
      <c r="D235" s="35"/>
      <c r="F235" s="35"/>
      <c r="H235" s="35"/>
    </row>
    <row r="236" ht="15.75" customHeight="1">
      <c r="B236" s="35"/>
      <c r="C236" s="35"/>
      <c r="D236" s="35"/>
      <c r="F236" s="35"/>
      <c r="H236" s="35"/>
    </row>
    <row r="237" ht="15.75" customHeight="1">
      <c r="B237" s="35"/>
      <c r="C237" s="35"/>
      <c r="D237" s="35"/>
      <c r="F237" s="35"/>
      <c r="H237" s="35"/>
    </row>
    <row r="238" ht="15.75" customHeight="1">
      <c r="B238" s="35"/>
      <c r="C238" s="35"/>
      <c r="D238" s="35"/>
      <c r="F238" s="35"/>
      <c r="H238" s="35"/>
    </row>
    <row r="239" ht="15.75" customHeight="1">
      <c r="B239" s="35"/>
      <c r="C239" s="35"/>
      <c r="D239" s="35"/>
      <c r="F239" s="35"/>
      <c r="H239" s="35"/>
    </row>
    <row r="240" ht="15.75" customHeight="1">
      <c r="B240" s="35"/>
      <c r="C240" s="35"/>
      <c r="D240" s="35"/>
      <c r="F240" s="35"/>
      <c r="H240" s="35"/>
    </row>
    <row r="241" ht="15.75" customHeight="1">
      <c r="B241" s="35"/>
      <c r="C241" s="35"/>
      <c r="D241" s="35"/>
      <c r="F241" s="35"/>
      <c r="H241" s="35"/>
    </row>
    <row r="242" ht="15.75" customHeight="1">
      <c r="B242" s="35"/>
      <c r="C242" s="35"/>
      <c r="D242" s="35"/>
      <c r="F242" s="35"/>
      <c r="H242" s="35"/>
    </row>
    <row r="243" ht="15.75" customHeight="1">
      <c r="B243" s="35"/>
      <c r="C243" s="35"/>
      <c r="D243" s="35"/>
      <c r="F243" s="35"/>
      <c r="H243" s="35"/>
    </row>
    <row r="244" ht="15.75" customHeight="1">
      <c r="B244" s="35"/>
      <c r="C244" s="35"/>
      <c r="D244" s="35"/>
      <c r="F244" s="35"/>
      <c r="H244" s="35"/>
    </row>
    <row r="245" ht="15.75" customHeight="1">
      <c r="B245" s="35"/>
      <c r="C245" s="35"/>
      <c r="D245" s="35"/>
      <c r="F245" s="35"/>
      <c r="H245" s="35"/>
    </row>
    <row r="246" ht="15.75" customHeight="1">
      <c r="B246" s="35"/>
      <c r="C246" s="35"/>
      <c r="D246" s="35"/>
      <c r="F246" s="35"/>
      <c r="H246" s="35"/>
    </row>
    <row r="247" ht="15.75" customHeight="1">
      <c r="B247" s="35"/>
      <c r="C247" s="35"/>
      <c r="D247" s="35"/>
      <c r="F247" s="35"/>
      <c r="H247" s="35"/>
    </row>
    <row r="248" ht="15.75" customHeight="1">
      <c r="B248" s="35"/>
      <c r="C248" s="35"/>
      <c r="D248" s="35"/>
      <c r="F248" s="35"/>
      <c r="H248" s="35"/>
    </row>
    <row r="249" ht="15.75" customHeight="1">
      <c r="B249" s="35"/>
      <c r="C249" s="35"/>
      <c r="D249" s="35"/>
      <c r="F249" s="35"/>
      <c r="H249" s="35"/>
    </row>
    <row r="250" ht="15.75" customHeight="1">
      <c r="B250" s="35"/>
      <c r="C250" s="35"/>
      <c r="D250" s="35"/>
      <c r="F250" s="35"/>
      <c r="H250" s="35"/>
    </row>
    <row r="251" ht="15.75" customHeight="1">
      <c r="B251" s="35"/>
      <c r="C251" s="35"/>
      <c r="D251" s="35"/>
      <c r="F251" s="35"/>
      <c r="H251" s="35"/>
    </row>
    <row r="252" ht="15.75" customHeight="1">
      <c r="B252" s="35"/>
      <c r="C252" s="35"/>
      <c r="D252" s="35"/>
      <c r="F252" s="35"/>
      <c r="H252" s="35"/>
    </row>
    <row r="253" ht="15.75" customHeight="1">
      <c r="B253" s="35"/>
      <c r="C253" s="35"/>
      <c r="D253" s="35"/>
      <c r="F253" s="35"/>
      <c r="H253" s="35"/>
    </row>
    <row r="254" ht="15.75" customHeight="1">
      <c r="B254" s="35"/>
      <c r="C254" s="35"/>
      <c r="D254" s="35"/>
      <c r="F254" s="35"/>
      <c r="H254" s="35"/>
    </row>
    <row r="255" ht="15.75" customHeight="1">
      <c r="B255" s="35"/>
      <c r="C255" s="35"/>
      <c r="D255" s="35"/>
      <c r="F255" s="35"/>
      <c r="H255" s="35"/>
    </row>
    <row r="256" ht="15.75" customHeight="1">
      <c r="B256" s="35"/>
      <c r="C256" s="35"/>
      <c r="D256" s="35"/>
      <c r="F256" s="35"/>
      <c r="H256" s="35"/>
    </row>
    <row r="257" ht="15.75" customHeight="1">
      <c r="B257" s="35"/>
      <c r="C257" s="35"/>
      <c r="D257" s="35"/>
      <c r="F257" s="35"/>
      <c r="H257" s="35"/>
    </row>
    <row r="258" ht="15.75" customHeight="1">
      <c r="B258" s="35"/>
      <c r="C258" s="35"/>
      <c r="D258" s="35"/>
      <c r="F258" s="35"/>
      <c r="H258" s="35"/>
    </row>
    <row r="259" ht="15.75" customHeight="1">
      <c r="B259" s="35"/>
      <c r="C259" s="35"/>
      <c r="D259" s="35"/>
      <c r="F259" s="35"/>
      <c r="H259" s="35"/>
    </row>
    <row r="260" ht="15.75" customHeight="1">
      <c r="B260" s="35"/>
      <c r="C260" s="35"/>
      <c r="D260" s="35"/>
      <c r="F260" s="35"/>
      <c r="H260" s="35"/>
    </row>
    <row r="261" ht="15.75" customHeight="1">
      <c r="B261" s="35"/>
      <c r="C261" s="35"/>
      <c r="D261" s="35"/>
      <c r="F261" s="35"/>
      <c r="H261" s="35"/>
    </row>
    <row r="262" ht="15.75" customHeight="1">
      <c r="B262" s="35"/>
      <c r="C262" s="35"/>
      <c r="D262" s="35"/>
      <c r="F262" s="35"/>
      <c r="H262" s="35"/>
    </row>
    <row r="263" ht="15.75" customHeight="1">
      <c r="B263" s="35"/>
      <c r="C263" s="35"/>
      <c r="D263" s="35"/>
      <c r="F263" s="35"/>
      <c r="H263" s="35"/>
    </row>
    <row r="264" ht="15.75" customHeight="1">
      <c r="B264" s="35"/>
      <c r="C264" s="35"/>
      <c r="D264" s="35"/>
      <c r="F264" s="35"/>
      <c r="H264" s="35"/>
    </row>
    <row r="265" ht="15.75" customHeight="1">
      <c r="B265" s="35"/>
      <c r="C265" s="35"/>
      <c r="D265" s="35"/>
      <c r="F265" s="35"/>
      <c r="H265" s="35"/>
    </row>
    <row r="266" ht="15.75" customHeight="1">
      <c r="B266" s="35"/>
      <c r="C266" s="35"/>
      <c r="D266" s="35"/>
      <c r="F266" s="35"/>
      <c r="H266" s="35"/>
    </row>
    <row r="267" ht="15.75" customHeight="1">
      <c r="B267" s="35"/>
      <c r="C267" s="35"/>
      <c r="D267" s="35"/>
      <c r="F267" s="35"/>
      <c r="H267" s="35"/>
    </row>
    <row r="268" ht="15.75" customHeight="1">
      <c r="B268" s="35"/>
      <c r="C268" s="35"/>
      <c r="D268" s="35"/>
      <c r="F268" s="35"/>
      <c r="H268" s="35"/>
    </row>
    <row r="269" ht="15.75" customHeight="1">
      <c r="B269" s="35"/>
      <c r="C269" s="35"/>
      <c r="D269" s="35"/>
      <c r="F269" s="35"/>
      <c r="H269" s="35"/>
    </row>
    <row r="270" ht="15.75" customHeight="1">
      <c r="B270" s="35"/>
      <c r="C270" s="35"/>
      <c r="D270" s="35"/>
      <c r="F270" s="35"/>
      <c r="H270" s="35"/>
    </row>
    <row r="271" ht="15.75" customHeight="1">
      <c r="B271" s="35"/>
      <c r="C271" s="35"/>
      <c r="D271" s="35"/>
      <c r="F271" s="35"/>
      <c r="H271" s="35"/>
    </row>
    <row r="272" ht="15.75" customHeight="1">
      <c r="B272" s="35"/>
      <c r="C272" s="35"/>
      <c r="D272" s="35"/>
      <c r="F272" s="35"/>
      <c r="H272" s="35"/>
    </row>
    <row r="273" ht="15.75" customHeight="1">
      <c r="B273" s="35"/>
      <c r="C273" s="35"/>
      <c r="D273" s="35"/>
      <c r="F273" s="35"/>
      <c r="H273" s="35"/>
    </row>
    <row r="274" ht="15.75" customHeight="1">
      <c r="B274" s="35"/>
      <c r="C274" s="35"/>
      <c r="D274" s="35"/>
      <c r="F274" s="35"/>
      <c r="H274" s="35"/>
    </row>
    <row r="275" ht="15.75" customHeight="1">
      <c r="B275" s="35"/>
      <c r="C275" s="35"/>
      <c r="D275" s="35"/>
      <c r="F275" s="35"/>
      <c r="H275" s="35"/>
    </row>
    <row r="276" ht="15.75" customHeight="1">
      <c r="B276" s="35"/>
      <c r="C276" s="35"/>
      <c r="D276" s="35"/>
      <c r="F276" s="35"/>
      <c r="H276" s="35"/>
    </row>
    <row r="277" ht="15.75" customHeight="1">
      <c r="B277" s="35"/>
      <c r="C277" s="35"/>
      <c r="D277" s="35"/>
      <c r="F277" s="35"/>
      <c r="H277" s="35"/>
    </row>
    <row r="278" ht="15.75" customHeight="1">
      <c r="B278" s="35"/>
      <c r="C278" s="35"/>
      <c r="D278" s="35"/>
      <c r="F278" s="35"/>
      <c r="H278" s="35"/>
    </row>
    <row r="279" ht="15.75" customHeight="1">
      <c r="B279" s="35"/>
      <c r="C279" s="35"/>
      <c r="D279" s="35"/>
      <c r="F279" s="35"/>
      <c r="H279" s="35"/>
    </row>
    <row r="280" ht="15.75" customHeight="1">
      <c r="B280" s="35"/>
      <c r="C280" s="35"/>
      <c r="D280" s="35"/>
      <c r="F280" s="35"/>
      <c r="H280" s="35"/>
    </row>
    <row r="281" ht="15.75" customHeight="1">
      <c r="B281" s="35"/>
      <c r="C281" s="35"/>
      <c r="D281" s="35"/>
      <c r="F281" s="35"/>
      <c r="H281" s="35"/>
    </row>
    <row r="282" ht="15.75" customHeight="1">
      <c r="B282" s="35"/>
      <c r="C282" s="35"/>
      <c r="D282" s="35"/>
      <c r="F282" s="35"/>
      <c r="H282" s="35"/>
    </row>
    <row r="283" ht="15.75" customHeight="1">
      <c r="B283" s="35"/>
      <c r="C283" s="35"/>
      <c r="D283" s="35"/>
      <c r="F283" s="35"/>
      <c r="H283" s="35"/>
    </row>
    <row r="284" ht="15.75" customHeight="1">
      <c r="B284" s="35"/>
      <c r="C284" s="35"/>
      <c r="D284" s="35"/>
      <c r="F284" s="35"/>
      <c r="H284" s="35"/>
    </row>
    <row r="285" ht="15.75" customHeight="1">
      <c r="B285" s="35"/>
      <c r="C285" s="35"/>
      <c r="D285" s="35"/>
      <c r="F285" s="35"/>
      <c r="H285" s="35"/>
    </row>
    <row r="286" ht="15.75" customHeight="1">
      <c r="B286" s="35"/>
      <c r="C286" s="35"/>
      <c r="D286" s="35"/>
      <c r="F286" s="35"/>
      <c r="H286" s="35"/>
    </row>
    <row r="287" ht="15.75" customHeight="1">
      <c r="B287" s="35"/>
      <c r="C287" s="35"/>
      <c r="D287" s="35"/>
      <c r="F287" s="35"/>
      <c r="H287" s="35"/>
    </row>
    <row r="288" ht="15.75" customHeight="1">
      <c r="B288" s="35"/>
      <c r="C288" s="35"/>
      <c r="D288" s="35"/>
      <c r="F288" s="35"/>
      <c r="H288" s="35"/>
    </row>
    <row r="289" ht="15.75" customHeight="1">
      <c r="B289" s="35"/>
      <c r="C289" s="35"/>
      <c r="D289" s="35"/>
      <c r="F289" s="35"/>
      <c r="H289" s="35"/>
    </row>
    <row r="290" ht="15.75" customHeight="1">
      <c r="B290" s="35"/>
      <c r="C290" s="35"/>
      <c r="D290" s="35"/>
      <c r="F290" s="35"/>
      <c r="H290" s="35"/>
    </row>
    <row r="291" ht="15.75" customHeight="1">
      <c r="B291" s="35"/>
      <c r="C291" s="35"/>
      <c r="D291" s="35"/>
      <c r="F291" s="35"/>
      <c r="H291" s="35"/>
    </row>
    <row r="292" ht="15.75" customHeight="1">
      <c r="B292" s="35"/>
      <c r="C292" s="35"/>
      <c r="D292" s="35"/>
      <c r="F292" s="35"/>
      <c r="H292" s="35"/>
    </row>
    <row r="293" ht="15.75" customHeight="1">
      <c r="B293" s="35"/>
      <c r="C293" s="35"/>
      <c r="D293" s="35"/>
      <c r="F293" s="35"/>
      <c r="H293" s="35"/>
    </row>
    <row r="294" ht="15.75" customHeight="1">
      <c r="B294" s="35"/>
      <c r="C294" s="35"/>
      <c r="D294" s="35"/>
      <c r="F294" s="35"/>
      <c r="H294" s="35"/>
    </row>
    <row r="295" ht="15.75" customHeight="1">
      <c r="B295" s="35"/>
      <c r="C295" s="35"/>
      <c r="D295" s="35"/>
      <c r="F295" s="35"/>
      <c r="H295" s="35"/>
    </row>
    <row r="296" ht="15.75" customHeight="1">
      <c r="B296" s="35"/>
      <c r="C296" s="35"/>
      <c r="D296" s="35"/>
      <c r="F296" s="35"/>
      <c r="H296" s="35"/>
    </row>
    <row r="297" ht="15.75" customHeight="1">
      <c r="B297" s="35"/>
      <c r="C297" s="35"/>
      <c r="D297" s="35"/>
      <c r="F297" s="35"/>
      <c r="H297" s="35"/>
    </row>
    <row r="298" ht="15.75" customHeight="1">
      <c r="B298" s="35"/>
      <c r="C298" s="35"/>
      <c r="D298" s="35"/>
      <c r="F298" s="35"/>
      <c r="H298" s="35"/>
    </row>
    <row r="299" ht="15.75" customHeight="1">
      <c r="B299" s="35"/>
      <c r="C299" s="35"/>
      <c r="D299" s="35"/>
      <c r="F299" s="35"/>
      <c r="H299" s="35"/>
    </row>
    <row r="300" ht="15.75" customHeight="1">
      <c r="B300" s="35"/>
      <c r="C300" s="35"/>
      <c r="D300" s="35"/>
      <c r="F300" s="35"/>
      <c r="H300" s="35"/>
    </row>
    <row r="301" ht="15.75" customHeight="1">
      <c r="B301" s="35"/>
      <c r="C301" s="35"/>
      <c r="D301" s="35"/>
      <c r="F301" s="35"/>
      <c r="H301" s="35"/>
    </row>
    <row r="302" ht="15.75" customHeight="1">
      <c r="B302" s="35"/>
      <c r="C302" s="35"/>
      <c r="D302" s="35"/>
      <c r="F302" s="35"/>
      <c r="H302" s="35"/>
    </row>
    <row r="303" ht="15.75" customHeight="1">
      <c r="B303" s="35"/>
      <c r="C303" s="35"/>
      <c r="D303" s="35"/>
      <c r="F303" s="35"/>
      <c r="H303" s="35"/>
    </row>
    <row r="304" ht="15.75" customHeight="1">
      <c r="B304" s="35"/>
      <c r="C304" s="35"/>
      <c r="D304" s="35"/>
      <c r="F304" s="35"/>
      <c r="H304" s="35"/>
    </row>
    <row r="305" ht="15.75" customHeight="1">
      <c r="B305" s="35"/>
      <c r="C305" s="35"/>
      <c r="D305" s="35"/>
      <c r="F305" s="35"/>
      <c r="H305" s="35"/>
    </row>
    <row r="306" ht="15.75" customHeight="1">
      <c r="B306" s="35"/>
      <c r="C306" s="35"/>
      <c r="D306" s="35"/>
      <c r="F306" s="35"/>
      <c r="H306" s="35"/>
    </row>
    <row r="307" ht="15.75" customHeight="1">
      <c r="B307" s="35"/>
      <c r="C307" s="35"/>
      <c r="D307" s="35"/>
      <c r="F307" s="35"/>
      <c r="H307" s="35"/>
    </row>
    <row r="308" ht="15.75" customHeight="1">
      <c r="B308" s="35"/>
      <c r="C308" s="35"/>
      <c r="D308" s="35"/>
      <c r="F308" s="35"/>
      <c r="H308" s="35"/>
    </row>
    <row r="309" ht="15.75" customHeight="1">
      <c r="B309" s="35"/>
      <c r="C309" s="35"/>
      <c r="D309" s="35"/>
      <c r="F309" s="35"/>
      <c r="H309" s="35"/>
    </row>
    <row r="310" ht="15.75" customHeight="1">
      <c r="B310" s="35"/>
      <c r="C310" s="35"/>
      <c r="D310" s="35"/>
      <c r="F310" s="35"/>
      <c r="H310" s="35"/>
    </row>
    <row r="311" ht="15.75" customHeight="1">
      <c r="B311" s="35"/>
      <c r="C311" s="35"/>
      <c r="D311" s="35"/>
      <c r="F311" s="35"/>
      <c r="H311" s="35"/>
    </row>
    <row r="312" ht="15.75" customHeight="1">
      <c r="B312" s="35"/>
      <c r="C312" s="35"/>
      <c r="D312" s="35"/>
      <c r="F312" s="35"/>
      <c r="H312" s="35"/>
    </row>
    <row r="313" ht="15.75" customHeight="1">
      <c r="B313" s="35"/>
      <c r="C313" s="35"/>
      <c r="D313" s="35"/>
      <c r="F313" s="35"/>
      <c r="H313" s="35"/>
    </row>
    <row r="314" ht="15.75" customHeight="1">
      <c r="B314" s="35"/>
      <c r="C314" s="35"/>
      <c r="D314" s="35"/>
      <c r="F314" s="35"/>
      <c r="H314" s="35"/>
    </row>
    <row r="315" ht="15.75" customHeight="1">
      <c r="B315" s="35"/>
      <c r="C315" s="35"/>
      <c r="D315" s="35"/>
      <c r="F315" s="35"/>
      <c r="H315" s="35"/>
    </row>
    <row r="316" ht="15.75" customHeight="1">
      <c r="B316" s="35"/>
      <c r="C316" s="35"/>
      <c r="D316" s="35"/>
      <c r="F316" s="35"/>
      <c r="H316" s="35"/>
    </row>
    <row r="317" ht="15.75" customHeight="1">
      <c r="B317" s="35"/>
      <c r="C317" s="35"/>
      <c r="D317" s="35"/>
      <c r="F317" s="35"/>
      <c r="H317" s="35"/>
    </row>
    <row r="318" ht="15.75" customHeight="1">
      <c r="B318" s="35"/>
      <c r="C318" s="35"/>
      <c r="D318" s="35"/>
      <c r="F318" s="35"/>
      <c r="H318" s="35"/>
    </row>
    <row r="319" ht="15.75" customHeight="1">
      <c r="B319" s="35"/>
      <c r="C319" s="35"/>
      <c r="D319" s="35"/>
      <c r="F319" s="35"/>
      <c r="H319" s="35"/>
    </row>
    <row r="320" ht="15.75" customHeight="1">
      <c r="B320" s="35"/>
      <c r="C320" s="35"/>
      <c r="D320" s="35"/>
      <c r="F320" s="35"/>
      <c r="H320" s="35"/>
    </row>
    <row r="321" ht="15.75" customHeight="1">
      <c r="B321" s="35"/>
      <c r="C321" s="35"/>
      <c r="D321" s="35"/>
      <c r="F321" s="35"/>
      <c r="H321" s="35"/>
    </row>
    <row r="322" ht="15.75" customHeight="1">
      <c r="B322" s="35"/>
      <c r="C322" s="35"/>
      <c r="D322" s="35"/>
      <c r="F322" s="35"/>
      <c r="H322" s="35"/>
    </row>
    <row r="323" ht="15.75" customHeight="1">
      <c r="B323" s="35"/>
      <c r="C323" s="35"/>
      <c r="D323" s="35"/>
      <c r="F323" s="35"/>
      <c r="H323" s="35"/>
    </row>
    <row r="324" ht="15.75" customHeight="1">
      <c r="B324" s="35"/>
      <c r="C324" s="35"/>
      <c r="D324" s="35"/>
      <c r="F324" s="35"/>
      <c r="H324" s="35"/>
    </row>
    <row r="325" ht="15.75" customHeight="1">
      <c r="B325" s="35"/>
      <c r="C325" s="35"/>
      <c r="D325" s="35"/>
      <c r="F325" s="35"/>
      <c r="H325" s="35"/>
    </row>
    <row r="326" ht="15.75" customHeight="1">
      <c r="B326" s="35"/>
      <c r="C326" s="35"/>
      <c r="D326" s="35"/>
      <c r="F326" s="35"/>
      <c r="H326" s="35"/>
    </row>
    <row r="327" ht="15.75" customHeight="1">
      <c r="B327" s="35"/>
      <c r="C327" s="35"/>
      <c r="D327" s="35"/>
      <c r="F327" s="35"/>
      <c r="H327" s="35"/>
    </row>
    <row r="328" ht="15.75" customHeight="1">
      <c r="B328" s="35"/>
      <c r="C328" s="35"/>
      <c r="D328" s="35"/>
      <c r="F328" s="35"/>
      <c r="H328" s="35"/>
    </row>
    <row r="329" ht="15.75" customHeight="1">
      <c r="B329" s="35"/>
      <c r="C329" s="35"/>
      <c r="D329" s="35"/>
      <c r="F329" s="35"/>
      <c r="H329" s="35"/>
    </row>
    <row r="330" ht="15.75" customHeight="1">
      <c r="B330" s="35"/>
      <c r="C330" s="35"/>
      <c r="D330" s="35"/>
      <c r="F330" s="35"/>
      <c r="H330" s="35"/>
    </row>
    <row r="331" ht="15.75" customHeight="1">
      <c r="B331" s="35"/>
      <c r="C331" s="35"/>
      <c r="D331" s="35"/>
      <c r="F331" s="35"/>
      <c r="H331" s="35"/>
    </row>
    <row r="332" ht="15.75" customHeight="1">
      <c r="B332" s="35"/>
      <c r="C332" s="35"/>
      <c r="D332" s="35"/>
      <c r="F332" s="35"/>
      <c r="H332" s="35"/>
    </row>
    <row r="333" ht="15.75" customHeight="1">
      <c r="B333" s="35"/>
      <c r="C333" s="35"/>
      <c r="D333" s="35"/>
      <c r="F333" s="35"/>
      <c r="H333" s="35"/>
    </row>
    <row r="334" ht="15.75" customHeight="1">
      <c r="B334" s="35"/>
      <c r="C334" s="35"/>
      <c r="D334" s="35"/>
      <c r="F334" s="35"/>
      <c r="H334" s="35"/>
    </row>
    <row r="335" ht="15.75" customHeight="1">
      <c r="B335" s="35"/>
      <c r="C335" s="35"/>
      <c r="D335" s="35"/>
      <c r="F335" s="35"/>
      <c r="H335" s="35"/>
    </row>
    <row r="336" ht="15.75" customHeight="1">
      <c r="B336" s="35"/>
      <c r="C336" s="35"/>
      <c r="D336" s="35"/>
      <c r="F336" s="35"/>
      <c r="H336" s="35"/>
    </row>
    <row r="337" ht="15.75" customHeight="1">
      <c r="B337" s="35"/>
      <c r="C337" s="35"/>
      <c r="D337" s="35"/>
      <c r="F337" s="35"/>
      <c r="H337" s="35"/>
    </row>
    <row r="338" ht="15.75" customHeight="1">
      <c r="B338" s="35"/>
      <c r="C338" s="35"/>
      <c r="D338" s="35"/>
      <c r="F338" s="35"/>
      <c r="H338" s="35"/>
    </row>
    <row r="339" ht="15.75" customHeight="1">
      <c r="B339" s="35"/>
      <c r="C339" s="35"/>
      <c r="D339" s="35"/>
      <c r="F339" s="35"/>
      <c r="H339" s="35"/>
    </row>
    <row r="340" ht="15.75" customHeight="1">
      <c r="B340" s="35"/>
      <c r="C340" s="35"/>
      <c r="D340" s="35"/>
      <c r="F340" s="35"/>
      <c r="H340" s="35"/>
    </row>
    <row r="341" ht="15.75" customHeight="1">
      <c r="B341" s="35"/>
      <c r="C341" s="35"/>
      <c r="D341" s="35"/>
      <c r="F341" s="35"/>
      <c r="H341" s="35"/>
    </row>
    <row r="342" ht="15.75" customHeight="1">
      <c r="B342" s="35"/>
      <c r="C342" s="35"/>
      <c r="D342" s="35"/>
      <c r="F342" s="35"/>
      <c r="H342" s="35"/>
    </row>
    <row r="343" ht="15.75" customHeight="1">
      <c r="B343" s="35"/>
      <c r="C343" s="35"/>
      <c r="D343" s="35"/>
      <c r="F343" s="35"/>
      <c r="H343" s="35"/>
    </row>
    <row r="344" ht="15.75" customHeight="1">
      <c r="B344" s="35"/>
      <c r="C344" s="35"/>
      <c r="D344" s="35"/>
      <c r="F344" s="35"/>
      <c r="H344" s="35"/>
    </row>
    <row r="345" ht="15.75" customHeight="1">
      <c r="B345" s="35"/>
      <c r="C345" s="35"/>
      <c r="D345" s="35"/>
      <c r="F345" s="35"/>
      <c r="H345" s="35"/>
    </row>
    <row r="346" ht="15.75" customHeight="1">
      <c r="B346" s="35"/>
      <c r="C346" s="35"/>
      <c r="D346" s="35"/>
      <c r="F346" s="35"/>
      <c r="H346" s="35"/>
    </row>
    <row r="347" ht="15.75" customHeight="1">
      <c r="B347" s="35"/>
      <c r="C347" s="35"/>
      <c r="D347" s="35"/>
      <c r="F347" s="35"/>
      <c r="H347" s="35"/>
    </row>
    <row r="348" ht="15.75" customHeight="1">
      <c r="B348" s="35"/>
      <c r="C348" s="35"/>
      <c r="D348" s="35"/>
      <c r="F348" s="35"/>
      <c r="H348" s="35"/>
    </row>
    <row r="349" ht="15.75" customHeight="1">
      <c r="B349" s="35"/>
      <c r="C349" s="35"/>
      <c r="D349" s="35"/>
      <c r="F349" s="35"/>
      <c r="H349" s="35"/>
    </row>
    <row r="350" ht="15.75" customHeight="1">
      <c r="B350" s="35"/>
      <c r="C350" s="35"/>
      <c r="D350" s="35"/>
      <c r="F350" s="35"/>
      <c r="H350" s="35"/>
    </row>
    <row r="351" ht="15.75" customHeight="1">
      <c r="B351" s="35"/>
      <c r="C351" s="35"/>
      <c r="D351" s="35"/>
      <c r="F351" s="35"/>
      <c r="H351" s="35"/>
    </row>
    <row r="352" ht="15.75" customHeight="1">
      <c r="B352" s="35"/>
      <c r="C352" s="35"/>
      <c r="D352" s="35"/>
      <c r="F352" s="35"/>
      <c r="H352" s="35"/>
    </row>
    <row r="353" ht="15.75" customHeight="1">
      <c r="B353" s="35"/>
      <c r="C353" s="35"/>
      <c r="D353" s="35"/>
      <c r="F353" s="35"/>
      <c r="H353" s="35"/>
    </row>
    <row r="354" ht="15.75" customHeight="1">
      <c r="B354" s="35"/>
      <c r="C354" s="35"/>
      <c r="D354" s="35"/>
      <c r="F354" s="35"/>
      <c r="H354" s="35"/>
    </row>
    <row r="355" ht="15.75" customHeight="1">
      <c r="B355" s="35"/>
      <c r="C355" s="35"/>
      <c r="D355" s="35"/>
      <c r="F355" s="35"/>
      <c r="H355" s="35"/>
    </row>
    <row r="356" ht="15.75" customHeight="1">
      <c r="B356" s="35"/>
      <c r="C356" s="35"/>
      <c r="D356" s="35"/>
      <c r="F356" s="35"/>
      <c r="H356" s="35"/>
    </row>
    <row r="357" ht="15.75" customHeight="1">
      <c r="B357" s="35"/>
      <c r="C357" s="35"/>
      <c r="D357" s="35"/>
      <c r="F357" s="35"/>
      <c r="H357" s="35"/>
    </row>
    <row r="358" ht="15.75" customHeight="1">
      <c r="B358" s="35"/>
      <c r="C358" s="35"/>
      <c r="D358" s="35"/>
      <c r="F358" s="35"/>
      <c r="H358" s="35"/>
    </row>
    <row r="359" ht="15.75" customHeight="1">
      <c r="B359" s="35"/>
      <c r="C359" s="35"/>
      <c r="D359" s="35"/>
      <c r="F359" s="35"/>
      <c r="H359" s="35"/>
    </row>
    <row r="360" ht="15.75" customHeight="1">
      <c r="B360" s="35"/>
      <c r="C360" s="35"/>
      <c r="D360" s="35"/>
      <c r="F360" s="35"/>
      <c r="H360" s="35"/>
    </row>
    <row r="361" ht="15.75" customHeight="1">
      <c r="B361" s="35"/>
      <c r="C361" s="35"/>
      <c r="D361" s="35"/>
      <c r="F361" s="35"/>
      <c r="H361" s="35"/>
    </row>
    <row r="362" ht="15.75" customHeight="1">
      <c r="B362" s="35"/>
      <c r="C362" s="35"/>
      <c r="D362" s="35"/>
      <c r="F362" s="35"/>
      <c r="H362" s="35"/>
    </row>
    <row r="363" ht="15.75" customHeight="1">
      <c r="B363" s="35"/>
      <c r="C363" s="35"/>
      <c r="D363" s="35"/>
      <c r="F363" s="35"/>
      <c r="H363" s="35"/>
    </row>
    <row r="364" ht="15.75" customHeight="1">
      <c r="B364" s="35"/>
      <c r="C364" s="35"/>
      <c r="D364" s="35"/>
      <c r="F364" s="35"/>
      <c r="H364" s="35"/>
    </row>
    <row r="365" ht="15.75" customHeight="1">
      <c r="B365" s="35"/>
      <c r="C365" s="35"/>
      <c r="D365" s="35"/>
      <c r="F365" s="35"/>
      <c r="H365" s="35"/>
    </row>
    <row r="366" ht="15.75" customHeight="1">
      <c r="B366" s="35"/>
      <c r="C366" s="35"/>
      <c r="D366" s="35"/>
      <c r="F366" s="35"/>
      <c r="H366" s="35"/>
    </row>
    <row r="367" ht="15.75" customHeight="1">
      <c r="B367" s="35"/>
      <c r="C367" s="35"/>
      <c r="D367" s="35"/>
      <c r="F367" s="35"/>
      <c r="H367" s="35"/>
    </row>
    <row r="368" ht="15.75" customHeight="1">
      <c r="B368" s="35"/>
      <c r="C368" s="35"/>
      <c r="D368" s="35"/>
      <c r="F368" s="35"/>
      <c r="H368" s="35"/>
    </row>
    <row r="369" ht="15.75" customHeight="1">
      <c r="B369" s="35"/>
      <c r="C369" s="35"/>
      <c r="D369" s="35"/>
      <c r="F369" s="35"/>
      <c r="H369" s="35"/>
    </row>
    <row r="370" ht="15.75" customHeight="1">
      <c r="B370" s="35"/>
      <c r="C370" s="35"/>
      <c r="D370" s="35"/>
      <c r="F370" s="35"/>
      <c r="H370" s="35"/>
    </row>
    <row r="371" ht="15.75" customHeight="1">
      <c r="B371" s="35"/>
      <c r="C371" s="35"/>
      <c r="D371" s="35"/>
      <c r="F371" s="35"/>
      <c r="H371" s="35"/>
    </row>
    <row r="372" ht="15.75" customHeight="1">
      <c r="B372" s="35"/>
      <c r="C372" s="35"/>
      <c r="D372" s="35"/>
      <c r="F372" s="35"/>
      <c r="H372" s="35"/>
    </row>
    <row r="373" ht="15.75" customHeight="1">
      <c r="B373" s="35"/>
      <c r="C373" s="35"/>
      <c r="D373" s="35"/>
      <c r="F373" s="35"/>
      <c r="H373" s="35"/>
    </row>
    <row r="374" ht="15.75" customHeight="1">
      <c r="B374" s="35"/>
      <c r="C374" s="35"/>
      <c r="D374" s="35"/>
      <c r="F374" s="35"/>
      <c r="H374" s="35"/>
    </row>
    <row r="375" ht="15.75" customHeight="1">
      <c r="B375" s="35"/>
      <c r="C375" s="35"/>
      <c r="D375" s="35"/>
      <c r="F375" s="35"/>
      <c r="H375" s="35"/>
    </row>
    <row r="376" ht="15.75" customHeight="1">
      <c r="B376" s="35"/>
      <c r="C376" s="35"/>
      <c r="D376" s="35"/>
      <c r="F376" s="35"/>
      <c r="H376" s="35"/>
    </row>
    <row r="377" ht="15.75" customHeight="1">
      <c r="B377" s="35"/>
      <c r="C377" s="35"/>
      <c r="D377" s="35"/>
      <c r="F377" s="35"/>
      <c r="H377" s="35"/>
    </row>
    <row r="378" ht="15.75" customHeight="1">
      <c r="B378" s="35"/>
      <c r="C378" s="35"/>
      <c r="D378" s="35"/>
      <c r="F378" s="35"/>
      <c r="H378" s="35"/>
    </row>
    <row r="379" ht="15.75" customHeight="1">
      <c r="B379" s="35"/>
      <c r="C379" s="35"/>
      <c r="D379" s="35"/>
      <c r="F379" s="35"/>
      <c r="H379" s="35"/>
    </row>
    <row r="380" ht="15.75" customHeight="1">
      <c r="B380" s="35"/>
      <c r="C380" s="35"/>
      <c r="D380" s="35"/>
      <c r="F380" s="35"/>
      <c r="H380" s="35"/>
    </row>
    <row r="381" ht="15.75" customHeight="1">
      <c r="B381" s="35"/>
      <c r="C381" s="35"/>
      <c r="D381" s="35"/>
      <c r="F381" s="35"/>
      <c r="H381" s="35"/>
    </row>
    <row r="382" ht="15.75" customHeight="1">
      <c r="B382" s="35"/>
      <c r="C382" s="35"/>
      <c r="D382" s="35"/>
      <c r="F382" s="35"/>
      <c r="H382" s="35"/>
    </row>
    <row r="383" ht="15.75" customHeight="1">
      <c r="B383" s="35"/>
      <c r="C383" s="35"/>
      <c r="D383" s="35"/>
      <c r="F383" s="35"/>
      <c r="H383" s="35"/>
    </row>
    <row r="384" ht="15.75" customHeight="1">
      <c r="B384" s="35"/>
      <c r="C384" s="35"/>
      <c r="D384" s="35"/>
      <c r="F384" s="35"/>
      <c r="H384" s="35"/>
    </row>
    <row r="385" ht="15.75" customHeight="1">
      <c r="B385" s="35"/>
      <c r="C385" s="35"/>
      <c r="D385" s="35"/>
      <c r="F385" s="35"/>
      <c r="H385" s="35"/>
    </row>
    <row r="386" ht="15.75" customHeight="1">
      <c r="B386" s="35"/>
      <c r="C386" s="35"/>
      <c r="D386" s="35"/>
      <c r="F386" s="35"/>
      <c r="H386" s="35"/>
    </row>
    <row r="387" ht="15.75" customHeight="1">
      <c r="B387" s="35"/>
      <c r="C387" s="35"/>
      <c r="D387" s="35"/>
      <c r="F387" s="35"/>
      <c r="H387" s="35"/>
    </row>
    <row r="388" ht="15.75" customHeight="1">
      <c r="B388" s="35"/>
      <c r="C388" s="35"/>
      <c r="D388" s="35"/>
      <c r="F388" s="35"/>
      <c r="H388" s="35"/>
    </row>
    <row r="389" ht="15.75" customHeight="1">
      <c r="B389" s="35"/>
      <c r="C389" s="35"/>
      <c r="D389" s="35"/>
      <c r="F389" s="35"/>
      <c r="H389" s="35"/>
    </row>
    <row r="390" ht="15.75" customHeight="1">
      <c r="B390" s="35"/>
      <c r="C390" s="35"/>
      <c r="D390" s="35"/>
      <c r="F390" s="35"/>
      <c r="H390" s="35"/>
    </row>
    <row r="391" ht="15.75" customHeight="1">
      <c r="B391" s="35"/>
      <c r="C391" s="35"/>
      <c r="D391" s="35"/>
      <c r="F391" s="35"/>
      <c r="H391" s="35"/>
    </row>
    <row r="392" ht="15.75" customHeight="1">
      <c r="B392" s="35"/>
      <c r="C392" s="35"/>
      <c r="D392" s="35"/>
      <c r="F392" s="35"/>
      <c r="H392" s="35"/>
    </row>
    <row r="393" ht="15.75" customHeight="1">
      <c r="B393" s="35"/>
      <c r="C393" s="35"/>
      <c r="D393" s="35"/>
      <c r="F393" s="35"/>
      <c r="H393" s="35"/>
    </row>
    <row r="394" ht="15.75" customHeight="1">
      <c r="B394" s="35"/>
      <c r="C394" s="35"/>
      <c r="D394" s="35"/>
      <c r="F394" s="35"/>
      <c r="H394" s="35"/>
    </row>
    <row r="395" ht="15.75" customHeight="1">
      <c r="B395" s="35"/>
      <c r="C395" s="35"/>
      <c r="D395" s="35"/>
      <c r="F395" s="35"/>
      <c r="H395" s="35"/>
    </row>
    <row r="396" ht="15.75" customHeight="1">
      <c r="B396" s="35"/>
      <c r="C396" s="35"/>
      <c r="D396" s="35"/>
      <c r="F396" s="35"/>
      <c r="H396" s="35"/>
    </row>
    <row r="397" ht="15.75" customHeight="1">
      <c r="B397" s="35"/>
      <c r="C397" s="35"/>
      <c r="D397" s="35"/>
      <c r="F397" s="35"/>
      <c r="H397" s="35"/>
    </row>
    <row r="398" ht="15.75" customHeight="1">
      <c r="B398" s="35"/>
      <c r="C398" s="35"/>
      <c r="D398" s="35"/>
      <c r="F398" s="35"/>
      <c r="H398" s="35"/>
    </row>
    <row r="399" ht="15.75" customHeight="1">
      <c r="B399" s="35"/>
      <c r="C399" s="35"/>
      <c r="D399" s="35"/>
      <c r="F399" s="35"/>
      <c r="H399" s="35"/>
    </row>
    <row r="400" ht="15.75" customHeight="1">
      <c r="B400" s="35"/>
      <c r="C400" s="35"/>
      <c r="D400" s="35"/>
      <c r="F400" s="35"/>
      <c r="H400" s="35"/>
    </row>
    <row r="401" ht="15.75" customHeight="1">
      <c r="B401" s="35"/>
      <c r="C401" s="35"/>
      <c r="D401" s="35"/>
      <c r="F401" s="35"/>
      <c r="H401" s="35"/>
    </row>
    <row r="402" ht="15.75" customHeight="1">
      <c r="B402" s="35"/>
      <c r="C402" s="35"/>
      <c r="D402" s="35"/>
      <c r="F402" s="35"/>
      <c r="H402" s="35"/>
    </row>
    <row r="403" ht="15.75" customHeight="1">
      <c r="B403" s="35"/>
      <c r="C403" s="35"/>
      <c r="D403" s="35"/>
      <c r="F403" s="35"/>
      <c r="H403" s="35"/>
    </row>
    <row r="404" ht="15.75" customHeight="1">
      <c r="B404" s="35"/>
      <c r="C404" s="35"/>
      <c r="D404" s="35"/>
      <c r="F404" s="35"/>
      <c r="H404" s="35"/>
    </row>
    <row r="405" ht="15.75" customHeight="1">
      <c r="B405" s="35"/>
      <c r="C405" s="35"/>
      <c r="D405" s="35"/>
      <c r="F405" s="35"/>
      <c r="H405" s="35"/>
    </row>
    <row r="406" ht="15.75" customHeight="1">
      <c r="B406" s="35"/>
      <c r="C406" s="35"/>
      <c r="D406" s="35"/>
      <c r="F406" s="35"/>
      <c r="H406" s="35"/>
    </row>
    <row r="407" ht="15.75" customHeight="1">
      <c r="B407" s="35"/>
      <c r="C407" s="35"/>
      <c r="D407" s="35"/>
      <c r="F407" s="35"/>
      <c r="H407" s="35"/>
    </row>
    <row r="408" ht="15.75" customHeight="1">
      <c r="B408" s="35"/>
      <c r="C408" s="35"/>
      <c r="D408" s="35"/>
      <c r="F408" s="35"/>
      <c r="H408" s="35"/>
    </row>
    <row r="409" ht="15.75" customHeight="1">
      <c r="B409" s="35"/>
      <c r="C409" s="35"/>
      <c r="D409" s="35"/>
      <c r="F409" s="35"/>
      <c r="H409" s="35"/>
    </row>
    <row r="410" ht="15.75" customHeight="1">
      <c r="B410" s="35"/>
      <c r="C410" s="35"/>
      <c r="D410" s="35"/>
      <c r="F410" s="35"/>
      <c r="H410" s="35"/>
    </row>
    <row r="411" ht="15.75" customHeight="1">
      <c r="B411" s="35"/>
      <c r="C411" s="35"/>
      <c r="D411" s="35"/>
      <c r="F411" s="35"/>
      <c r="H411" s="35"/>
    </row>
    <row r="412" ht="15.75" customHeight="1">
      <c r="B412" s="35"/>
      <c r="C412" s="35"/>
      <c r="D412" s="35"/>
      <c r="F412" s="35"/>
      <c r="H412" s="35"/>
    </row>
    <row r="413" ht="15.75" customHeight="1">
      <c r="B413" s="35"/>
      <c r="C413" s="35"/>
      <c r="D413" s="35"/>
      <c r="F413" s="35"/>
      <c r="H413" s="35"/>
    </row>
    <row r="414" ht="15.75" customHeight="1">
      <c r="B414" s="35"/>
      <c r="C414" s="35"/>
      <c r="D414" s="35"/>
      <c r="F414" s="35"/>
      <c r="H414" s="35"/>
    </row>
    <row r="415" ht="15.75" customHeight="1">
      <c r="B415" s="35"/>
      <c r="C415" s="35"/>
      <c r="D415" s="35"/>
      <c r="F415" s="35"/>
      <c r="H415" s="35"/>
    </row>
    <row r="416" ht="15.75" customHeight="1">
      <c r="B416" s="35"/>
      <c r="C416" s="35"/>
      <c r="D416" s="35"/>
      <c r="F416" s="35"/>
      <c r="H416" s="35"/>
    </row>
    <row r="417" ht="15.75" customHeight="1">
      <c r="B417" s="35"/>
      <c r="C417" s="35"/>
      <c r="D417" s="35"/>
      <c r="F417" s="35"/>
      <c r="H417" s="35"/>
    </row>
    <row r="418" ht="15.75" customHeight="1">
      <c r="B418" s="35"/>
      <c r="C418" s="35"/>
      <c r="D418" s="35"/>
      <c r="F418" s="35"/>
      <c r="H418" s="35"/>
    </row>
    <row r="419" ht="15.75" customHeight="1">
      <c r="B419" s="35"/>
      <c r="C419" s="35"/>
      <c r="D419" s="35"/>
      <c r="F419" s="35"/>
      <c r="H419" s="35"/>
    </row>
    <row r="420" ht="15.75" customHeight="1">
      <c r="B420" s="35"/>
      <c r="C420" s="35"/>
      <c r="D420" s="35"/>
      <c r="F420" s="35"/>
      <c r="H420" s="35"/>
    </row>
    <row r="421" ht="15.75" customHeight="1">
      <c r="B421" s="35"/>
      <c r="C421" s="35"/>
      <c r="D421" s="35"/>
      <c r="F421" s="35"/>
      <c r="H421" s="35"/>
    </row>
    <row r="422" ht="15.75" customHeight="1">
      <c r="B422" s="35"/>
      <c r="C422" s="35"/>
      <c r="D422" s="35"/>
      <c r="F422" s="35"/>
      <c r="H422" s="35"/>
    </row>
    <row r="423" ht="15.75" customHeight="1">
      <c r="B423" s="35"/>
      <c r="C423" s="35"/>
      <c r="D423" s="35"/>
      <c r="F423" s="35"/>
      <c r="H423" s="35"/>
    </row>
    <row r="424" ht="15.75" customHeight="1">
      <c r="B424" s="35"/>
      <c r="C424" s="35"/>
      <c r="D424" s="35"/>
      <c r="F424" s="35"/>
      <c r="H424" s="35"/>
    </row>
    <row r="425" ht="15.75" customHeight="1">
      <c r="B425" s="35"/>
      <c r="C425" s="35"/>
      <c r="D425" s="35"/>
      <c r="F425" s="35"/>
      <c r="H425" s="35"/>
    </row>
    <row r="426" ht="15.75" customHeight="1">
      <c r="B426" s="35"/>
      <c r="C426" s="35"/>
      <c r="D426" s="35"/>
      <c r="F426" s="35"/>
      <c r="H426" s="35"/>
    </row>
    <row r="427" ht="15.75" customHeight="1">
      <c r="B427" s="35"/>
      <c r="C427" s="35"/>
      <c r="D427" s="35"/>
      <c r="F427" s="35"/>
      <c r="H427" s="35"/>
    </row>
    <row r="428" ht="15.75" customHeight="1">
      <c r="B428" s="35"/>
      <c r="C428" s="35"/>
      <c r="D428" s="35"/>
      <c r="F428" s="35"/>
      <c r="H428" s="35"/>
    </row>
    <row r="429" ht="15.75" customHeight="1">
      <c r="B429" s="35"/>
      <c r="C429" s="35"/>
      <c r="D429" s="35"/>
      <c r="F429" s="35"/>
      <c r="H429" s="35"/>
    </row>
    <row r="430" ht="15.75" customHeight="1">
      <c r="B430" s="35"/>
      <c r="C430" s="35"/>
      <c r="D430" s="35"/>
      <c r="F430" s="35"/>
      <c r="H430" s="35"/>
    </row>
    <row r="431" ht="15.75" customHeight="1">
      <c r="B431" s="35"/>
      <c r="C431" s="35"/>
      <c r="D431" s="35"/>
      <c r="F431" s="35"/>
      <c r="H431" s="35"/>
    </row>
    <row r="432" ht="15.75" customHeight="1">
      <c r="B432" s="35"/>
      <c r="C432" s="35"/>
      <c r="D432" s="35"/>
      <c r="F432" s="35"/>
      <c r="H432" s="35"/>
    </row>
    <row r="433" ht="15.75" customHeight="1">
      <c r="B433" s="35"/>
      <c r="C433" s="35"/>
      <c r="D433" s="35"/>
      <c r="F433" s="35"/>
      <c r="H433" s="35"/>
    </row>
    <row r="434" ht="15.75" customHeight="1">
      <c r="B434" s="35"/>
      <c r="C434" s="35"/>
      <c r="D434" s="35"/>
      <c r="F434" s="35"/>
      <c r="H434" s="35"/>
    </row>
    <row r="435" ht="15.75" customHeight="1">
      <c r="B435" s="35"/>
      <c r="C435" s="35"/>
      <c r="D435" s="35"/>
      <c r="F435" s="35"/>
      <c r="H435" s="35"/>
    </row>
    <row r="436" ht="15.75" customHeight="1">
      <c r="B436" s="35"/>
      <c r="C436" s="35"/>
      <c r="D436" s="35"/>
      <c r="F436" s="35"/>
      <c r="H436" s="35"/>
    </row>
    <row r="437" ht="15.75" customHeight="1">
      <c r="B437" s="35"/>
      <c r="C437" s="35"/>
      <c r="D437" s="35"/>
      <c r="F437" s="35"/>
      <c r="H437" s="35"/>
    </row>
    <row r="438" ht="15.75" customHeight="1">
      <c r="B438" s="35"/>
      <c r="C438" s="35"/>
      <c r="D438" s="35"/>
      <c r="F438" s="35"/>
      <c r="H438" s="35"/>
    </row>
    <row r="439" ht="15.75" customHeight="1">
      <c r="B439" s="35"/>
      <c r="C439" s="35"/>
      <c r="D439" s="35"/>
      <c r="F439" s="35"/>
      <c r="H439" s="35"/>
    </row>
    <row r="440" ht="15.75" customHeight="1">
      <c r="B440" s="35"/>
      <c r="C440" s="35"/>
      <c r="D440" s="35"/>
      <c r="F440" s="35"/>
      <c r="H440" s="35"/>
    </row>
    <row r="441" ht="15.75" customHeight="1">
      <c r="B441" s="35"/>
      <c r="C441" s="35"/>
      <c r="D441" s="35"/>
      <c r="F441" s="35"/>
      <c r="H441" s="35"/>
    </row>
    <row r="442" ht="15.75" customHeight="1">
      <c r="B442" s="35"/>
      <c r="C442" s="35"/>
      <c r="D442" s="35"/>
      <c r="F442" s="35"/>
      <c r="H442" s="35"/>
    </row>
    <row r="443" ht="15.75" customHeight="1">
      <c r="B443" s="35"/>
      <c r="C443" s="35"/>
      <c r="D443" s="35"/>
      <c r="F443" s="35"/>
      <c r="H443" s="35"/>
    </row>
    <row r="444" ht="15.75" customHeight="1">
      <c r="B444" s="35"/>
      <c r="C444" s="35"/>
      <c r="D444" s="35"/>
      <c r="F444" s="35"/>
      <c r="H444" s="35"/>
    </row>
    <row r="445" ht="15.75" customHeight="1">
      <c r="B445" s="35"/>
      <c r="C445" s="35"/>
      <c r="D445" s="35"/>
      <c r="F445" s="35"/>
      <c r="H445" s="35"/>
    </row>
    <row r="446" ht="15.75" customHeight="1">
      <c r="B446" s="35"/>
      <c r="C446" s="35"/>
      <c r="D446" s="35"/>
      <c r="F446" s="35"/>
      <c r="H446" s="35"/>
    </row>
    <row r="447" ht="15.75" customHeight="1">
      <c r="B447" s="35"/>
      <c r="C447" s="35"/>
      <c r="D447" s="35"/>
      <c r="F447" s="35"/>
      <c r="H447" s="35"/>
    </row>
    <row r="448" ht="15.75" customHeight="1">
      <c r="B448" s="35"/>
      <c r="C448" s="35"/>
      <c r="D448" s="35"/>
      <c r="F448" s="35"/>
      <c r="H448" s="35"/>
    </row>
    <row r="449" ht="15.75" customHeight="1">
      <c r="B449" s="35"/>
      <c r="C449" s="35"/>
      <c r="D449" s="35"/>
      <c r="F449" s="35"/>
      <c r="H449" s="35"/>
    </row>
    <row r="450" ht="15.75" customHeight="1">
      <c r="B450" s="35"/>
      <c r="C450" s="35"/>
      <c r="D450" s="35"/>
      <c r="F450" s="35"/>
      <c r="H450" s="35"/>
    </row>
    <row r="451" ht="15.75" customHeight="1">
      <c r="B451" s="35"/>
      <c r="C451" s="35"/>
      <c r="D451" s="35"/>
      <c r="F451" s="35"/>
      <c r="H451" s="35"/>
    </row>
    <row r="452" ht="15.75" customHeight="1">
      <c r="B452" s="35"/>
      <c r="C452" s="35"/>
      <c r="D452" s="35"/>
      <c r="F452" s="35"/>
      <c r="H452" s="35"/>
    </row>
    <row r="453" ht="15.75" customHeight="1">
      <c r="B453" s="35"/>
      <c r="C453" s="35"/>
      <c r="D453" s="35"/>
      <c r="F453" s="35"/>
      <c r="H453" s="35"/>
    </row>
    <row r="454" ht="15.75" customHeight="1">
      <c r="B454" s="35"/>
      <c r="C454" s="35"/>
      <c r="D454" s="35"/>
      <c r="F454" s="35"/>
      <c r="H454" s="35"/>
    </row>
    <row r="455" ht="15.75" customHeight="1">
      <c r="B455" s="35"/>
      <c r="C455" s="35"/>
      <c r="D455" s="35"/>
      <c r="F455" s="35"/>
      <c r="H455" s="35"/>
    </row>
    <row r="456" ht="15.75" customHeight="1">
      <c r="B456" s="35"/>
      <c r="C456" s="35"/>
      <c r="D456" s="35"/>
      <c r="F456" s="35"/>
      <c r="H456" s="35"/>
    </row>
    <row r="457" ht="15.75" customHeight="1">
      <c r="B457" s="35"/>
      <c r="C457" s="35"/>
      <c r="D457" s="35"/>
      <c r="F457" s="35"/>
      <c r="H457" s="35"/>
    </row>
    <row r="458" ht="15.75" customHeight="1">
      <c r="B458" s="35"/>
      <c r="C458" s="35"/>
      <c r="D458" s="35"/>
      <c r="F458" s="35"/>
      <c r="H458" s="35"/>
    </row>
    <row r="459" ht="15.75" customHeight="1">
      <c r="B459" s="35"/>
      <c r="C459" s="35"/>
      <c r="D459" s="35"/>
      <c r="F459" s="35"/>
      <c r="H459" s="35"/>
    </row>
    <row r="460" ht="15.75" customHeight="1">
      <c r="B460" s="35"/>
      <c r="C460" s="35"/>
      <c r="D460" s="35"/>
      <c r="F460" s="35"/>
      <c r="H460" s="35"/>
    </row>
    <row r="461" ht="15.75" customHeight="1">
      <c r="B461" s="35"/>
      <c r="C461" s="35"/>
      <c r="D461" s="35"/>
      <c r="F461" s="35"/>
      <c r="H461" s="35"/>
    </row>
    <row r="462" ht="15.75" customHeight="1">
      <c r="B462" s="35"/>
      <c r="C462" s="35"/>
      <c r="D462" s="35"/>
      <c r="F462" s="35"/>
      <c r="H462" s="35"/>
    </row>
    <row r="463" ht="15.75" customHeight="1">
      <c r="B463" s="35"/>
      <c r="C463" s="35"/>
      <c r="D463" s="35"/>
      <c r="F463" s="35"/>
      <c r="H463" s="35"/>
    </row>
    <row r="464" ht="15.75" customHeight="1">
      <c r="B464" s="35"/>
      <c r="C464" s="35"/>
      <c r="D464" s="35"/>
      <c r="F464" s="35"/>
      <c r="H464" s="35"/>
    </row>
    <row r="465" ht="15.75" customHeight="1">
      <c r="B465" s="35"/>
      <c r="C465" s="35"/>
      <c r="D465" s="35"/>
      <c r="F465" s="35"/>
      <c r="H465" s="35"/>
    </row>
    <row r="466" ht="15.75" customHeight="1">
      <c r="B466" s="35"/>
      <c r="C466" s="35"/>
      <c r="D466" s="35"/>
      <c r="F466" s="35"/>
      <c r="H466" s="35"/>
    </row>
    <row r="467" ht="15.75" customHeight="1">
      <c r="B467" s="35"/>
      <c r="C467" s="35"/>
      <c r="D467" s="35"/>
      <c r="F467" s="35"/>
      <c r="H467" s="35"/>
    </row>
    <row r="468" ht="15.75" customHeight="1">
      <c r="B468" s="35"/>
      <c r="C468" s="35"/>
      <c r="D468" s="35"/>
      <c r="F468" s="35"/>
      <c r="H468" s="35"/>
    </row>
    <row r="469" ht="15.75" customHeight="1">
      <c r="B469" s="35"/>
      <c r="C469" s="35"/>
      <c r="D469" s="35"/>
      <c r="F469" s="35"/>
      <c r="H469" s="35"/>
    </row>
    <row r="470" ht="15.75" customHeight="1">
      <c r="B470" s="35"/>
      <c r="C470" s="35"/>
      <c r="D470" s="35"/>
      <c r="F470" s="35"/>
      <c r="H470" s="35"/>
    </row>
    <row r="471" ht="15.75" customHeight="1">
      <c r="B471" s="35"/>
      <c r="C471" s="35"/>
      <c r="D471" s="35"/>
      <c r="F471" s="35"/>
      <c r="H471" s="35"/>
    </row>
    <row r="472" ht="15.75" customHeight="1">
      <c r="B472" s="35"/>
      <c r="C472" s="35"/>
      <c r="D472" s="35"/>
      <c r="F472" s="35"/>
      <c r="H472" s="35"/>
    </row>
    <row r="473" ht="15.75" customHeight="1">
      <c r="B473" s="35"/>
      <c r="C473" s="35"/>
      <c r="D473" s="35"/>
      <c r="F473" s="35"/>
      <c r="H473" s="35"/>
    </row>
    <row r="474" ht="15.75" customHeight="1">
      <c r="B474" s="35"/>
      <c r="C474" s="35"/>
      <c r="D474" s="35"/>
      <c r="F474" s="35"/>
      <c r="H474" s="35"/>
    </row>
    <row r="475" ht="15.75" customHeight="1">
      <c r="B475" s="35"/>
      <c r="C475" s="35"/>
      <c r="D475" s="35"/>
      <c r="F475" s="35"/>
      <c r="H475" s="35"/>
    </row>
    <row r="476" ht="15.75" customHeight="1">
      <c r="B476" s="35"/>
      <c r="C476" s="35"/>
      <c r="D476" s="35"/>
      <c r="F476" s="35"/>
      <c r="H476" s="35"/>
    </row>
    <row r="477" ht="15.75" customHeight="1">
      <c r="B477" s="35"/>
      <c r="C477" s="35"/>
      <c r="D477" s="35"/>
      <c r="F477" s="35"/>
      <c r="H477" s="35"/>
    </row>
    <row r="478" ht="15.75" customHeight="1">
      <c r="B478" s="35"/>
      <c r="C478" s="35"/>
      <c r="D478" s="35"/>
      <c r="F478" s="35"/>
      <c r="H478" s="35"/>
    </row>
    <row r="479" ht="15.75" customHeight="1">
      <c r="B479" s="35"/>
      <c r="C479" s="35"/>
      <c r="D479" s="35"/>
      <c r="F479" s="35"/>
      <c r="H479" s="35"/>
    </row>
    <row r="480" ht="15.75" customHeight="1">
      <c r="B480" s="35"/>
      <c r="C480" s="35"/>
      <c r="D480" s="35"/>
      <c r="F480" s="35"/>
      <c r="H480" s="35"/>
    </row>
    <row r="481" ht="15.75" customHeight="1">
      <c r="B481" s="35"/>
      <c r="C481" s="35"/>
      <c r="D481" s="35"/>
      <c r="F481" s="35"/>
      <c r="H481" s="35"/>
    </row>
    <row r="482" ht="15.75" customHeight="1">
      <c r="B482" s="35"/>
      <c r="C482" s="35"/>
      <c r="D482" s="35"/>
      <c r="F482" s="35"/>
      <c r="H482" s="35"/>
    </row>
    <row r="483" ht="15.75" customHeight="1">
      <c r="B483" s="35"/>
      <c r="C483" s="35"/>
      <c r="D483" s="35"/>
      <c r="F483" s="35"/>
      <c r="H483" s="35"/>
    </row>
    <row r="484" ht="15.75" customHeight="1">
      <c r="B484" s="35"/>
      <c r="C484" s="35"/>
      <c r="D484" s="35"/>
      <c r="F484" s="35"/>
      <c r="H484" s="35"/>
    </row>
    <row r="485" ht="15.75" customHeight="1">
      <c r="B485" s="35"/>
      <c r="C485" s="35"/>
      <c r="D485" s="35"/>
      <c r="F485" s="35"/>
      <c r="H485" s="35"/>
    </row>
    <row r="486" ht="15.75" customHeight="1">
      <c r="B486" s="35"/>
      <c r="C486" s="35"/>
      <c r="D486" s="35"/>
      <c r="F486" s="35"/>
      <c r="H486" s="35"/>
    </row>
    <row r="487" ht="15.75" customHeight="1">
      <c r="B487" s="35"/>
      <c r="C487" s="35"/>
      <c r="D487" s="35"/>
      <c r="F487" s="35"/>
      <c r="H487" s="35"/>
    </row>
    <row r="488" ht="15.75" customHeight="1">
      <c r="B488" s="35"/>
      <c r="C488" s="35"/>
      <c r="D488" s="35"/>
      <c r="F488" s="35"/>
      <c r="H488" s="35"/>
    </row>
    <row r="489" ht="15.75" customHeight="1">
      <c r="B489" s="35"/>
      <c r="C489" s="35"/>
      <c r="D489" s="35"/>
      <c r="F489" s="35"/>
      <c r="H489" s="35"/>
    </row>
    <row r="490" ht="15.75" customHeight="1">
      <c r="B490" s="35"/>
      <c r="C490" s="35"/>
      <c r="D490" s="35"/>
      <c r="F490" s="35"/>
      <c r="H490" s="35"/>
    </row>
    <row r="491" ht="15.75" customHeight="1">
      <c r="B491" s="35"/>
      <c r="C491" s="35"/>
      <c r="D491" s="35"/>
      <c r="F491" s="35"/>
      <c r="H491" s="35"/>
    </row>
    <row r="492" ht="15.75" customHeight="1">
      <c r="B492" s="35"/>
      <c r="C492" s="35"/>
      <c r="D492" s="35"/>
      <c r="F492" s="35"/>
      <c r="H492" s="35"/>
    </row>
    <row r="493" ht="15.75" customHeight="1">
      <c r="B493" s="35"/>
      <c r="C493" s="35"/>
      <c r="D493" s="35"/>
      <c r="F493" s="35"/>
      <c r="H493" s="35"/>
    </row>
    <row r="494" ht="15.75" customHeight="1">
      <c r="B494" s="35"/>
      <c r="C494" s="35"/>
      <c r="D494" s="35"/>
      <c r="F494" s="35"/>
      <c r="H494" s="35"/>
    </row>
    <row r="495" ht="15.75" customHeight="1">
      <c r="B495" s="35"/>
      <c r="C495" s="35"/>
      <c r="D495" s="35"/>
      <c r="F495" s="35"/>
      <c r="H495" s="35"/>
    </row>
    <row r="496" ht="15.75" customHeight="1">
      <c r="B496" s="35"/>
      <c r="C496" s="35"/>
      <c r="D496" s="35"/>
      <c r="F496" s="35"/>
      <c r="H496" s="35"/>
    </row>
    <row r="497" ht="15.75" customHeight="1">
      <c r="B497" s="35"/>
      <c r="C497" s="35"/>
      <c r="D497" s="35"/>
      <c r="F497" s="35"/>
      <c r="H497" s="35"/>
    </row>
    <row r="498" ht="15.75" customHeight="1">
      <c r="B498" s="35"/>
      <c r="C498" s="35"/>
      <c r="D498" s="35"/>
      <c r="F498" s="35"/>
      <c r="H498" s="35"/>
    </row>
    <row r="499" ht="15.75" customHeight="1">
      <c r="B499" s="35"/>
      <c r="C499" s="35"/>
      <c r="D499" s="35"/>
      <c r="F499" s="35"/>
      <c r="H499" s="35"/>
    </row>
    <row r="500" ht="15.75" customHeight="1">
      <c r="B500" s="35"/>
      <c r="C500" s="35"/>
      <c r="D500" s="35"/>
      <c r="F500" s="35"/>
      <c r="H500" s="35"/>
    </row>
    <row r="501" ht="15.75" customHeight="1">
      <c r="B501" s="35"/>
      <c r="C501" s="35"/>
      <c r="D501" s="35"/>
      <c r="F501" s="35"/>
      <c r="H501" s="35"/>
    </row>
    <row r="502" ht="15.75" customHeight="1">
      <c r="B502" s="35"/>
      <c r="C502" s="35"/>
      <c r="D502" s="35"/>
      <c r="F502" s="35"/>
      <c r="H502" s="35"/>
    </row>
    <row r="503" ht="15.75" customHeight="1">
      <c r="B503" s="35"/>
      <c r="C503" s="35"/>
      <c r="D503" s="35"/>
      <c r="F503" s="35"/>
      <c r="H503" s="35"/>
    </row>
    <row r="504" ht="15.75" customHeight="1">
      <c r="B504" s="35"/>
      <c r="C504" s="35"/>
      <c r="D504" s="35"/>
      <c r="F504" s="35"/>
      <c r="H504" s="35"/>
    </row>
    <row r="505" ht="15.75" customHeight="1">
      <c r="B505" s="35"/>
      <c r="C505" s="35"/>
      <c r="D505" s="35"/>
      <c r="F505" s="35"/>
      <c r="H505" s="35"/>
    </row>
    <row r="506" ht="15.75" customHeight="1">
      <c r="B506" s="35"/>
      <c r="C506" s="35"/>
      <c r="D506" s="35"/>
      <c r="F506" s="35"/>
      <c r="H506" s="35"/>
    </row>
    <row r="507" ht="15.75" customHeight="1">
      <c r="B507" s="35"/>
      <c r="C507" s="35"/>
      <c r="D507" s="35"/>
      <c r="F507" s="35"/>
      <c r="H507" s="35"/>
    </row>
    <row r="508" ht="15.75" customHeight="1">
      <c r="B508" s="35"/>
      <c r="C508" s="35"/>
      <c r="D508" s="35"/>
      <c r="F508" s="35"/>
      <c r="H508" s="35"/>
    </row>
    <row r="509" ht="15.75" customHeight="1">
      <c r="B509" s="35"/>
      <c r="C509" s="35"/>
      <c r="D509" s="35"/>
      <c r="F509" s="35"/>
      <c r="H509" s="35"/>
    </row>
    <row r="510" ht="15.75" customHeight="1">
      <c r="B510" s="35"/>
      <c r="C510" s="35"/>
      <c r="D510" s="35"/>
      <c r="F510" s="35"/>
      <c r="H510" s="35"/>
    </row>
    <row r="511" ht="15.75" customHeight="1">
      <c r="B511" s="35"/>
      <c r="C511" s="35"/>
      <c r="D511" s="35"/>
      <c r="F511" s="35"/>
      <c r="H511" s="35"/>
    </row>
    <row r="512" ht="15.75" customHeight="1">
      <c r="B512" s="35"/>
      <c r="C512" s="35"/>
      <c r="D512" s="35"/>
      <c r="F512" s="35"/>
      <c r="H512" s="35"/>
    </row>
    <row r="513" ht="15.75" customHeight="1">
      <c r="B513" s="35"/>
      <c r="C513" s="35"/>
      <c r="D513" s="35"/>
      <c r="F513" s="35"/>
      <c r="H513" s="35"/>
    </row>
    <row r="514" ht="15.75" customHeight="1">
      <c r="B514" s="35"/>
      <c r="C514" s="35"/>
      <c r="D514" s="35"/>
      <c r="F514" s="35"/>
      <c r="H514" s="35"/>
    </row>
    <row r="515" ht="15.75" customHeight="1">
      <c r="B515" s="35"/>
      <c r="C515" s="35"/>
      <c r="D515" s="35"/>
      <c r="F515" s="35"/>
      <c r="H515" s="35"/>
    </row>
    <row r="516" ht="15.75" customHeight="1">
      <c r="B516" s="35"/>
      <c r="C516" s="35"/>
      <c r="D516" s="35"/>
      <c r="F516" s="35"/>
      <c r="H516" s="35"/>
    </row>
    <row r="517" ht="15.75" customHeight="1">
      <c r="B517" s="35"/>
      <c r="C517" s="35"/>
      <c r="D517" s="35"/>
      <c r="F517" s="35"/>
      <c r="H517" s="35"/>
    </row>
    <row r="518" ht="15.75" customHeight="1">
      <c r="B518" s="35"/>
      <c r="C518" s="35"/>
      <c r="D518" s="35"/>
      <c r="F518" s="35"/>
      <c r="H518" s="35"/>
    </row>
    <row r="519" ht="15.75" customHeight="1">
      <c r="B519" s="35"/>
      <c r="C519" s="35"/>
      <c r="D519" s="35"/>
      <c r="F519" s="35"/>
      <c r="H519" s="35"/>
    </row>
    <row r="520" ht="15.75" customHeight="1">
      <c r="B520" s="35"/>
      <c r="C520" s="35"/>
      <c r="D520" s="35"/>
      <c r="F520" s="35"/>
      <c r="H520" s="35"/>
    </row>
    <row r="521" ht="15.75" customHeight="1">
      <c r="B521" s="35"/>
      <c r="C521" s="35"/>
      <c r="D521" s="35"/>
      <c r="F521" s="35"/>
      <c r="H521" s="35"/>
    </row>
    <row r="522" ht="15.75" customHeight="1">
      <c r="B522" s="35"/>
      <c r="C522" s="35"/>
      <c r="D522" s="35"/>
      <c r="F522" s="35"/>
      <c r="H522" s="35"/>
    </row>
    <row r="523" ht="15.75" customHeight="1">
      <c r="B523" s="35"/>
      <c r="C523" s="35"/>
      <c r="D523" s="35"/>
      <c r="F523" s="35"/>
      <c r="H523" s="35"/>
    </row>
    <row r="524" ht="15.75" customHeight="1">
      <c r="B524" s="35"/>
      <c r="C524" s="35"/>
      <c r="D524" s="35"/>
      <c r="F524" s="35"/>
      <c r="H524" s="35"/>
    </row>
    <row r="525" ht="15.75" customHeight="1">
      <c r="B525" s="35"/>
      <c r="C525" s="35"/>
      <c r="D525" s="35"/>
      <c r="F525" s="35"/>
      <c r="H525" s="35"/>
    </row>
    <row r="526" ht="15.75" customHeight="1">
      <c r="B526" s="35"/>
      <c r="C526" s="35"/>
      <c r="D526" s="35"/>
      <c r="F526" s="35"/>
      <c r="H526" s="35"/>
    </row>
    <row r="527" ht="15.75" customHeight="1">
      <c r="B527" s="35"/>
      <c r="C527" s="35"/>
      <c r="D527" s="35"/>
      <c r="F527" s="35"/>
      <c r="H527" s="35"/>
    </row>
    <row r="528" ht="15.75" customHeight="1">
      <c r="B528" s="35"/>
      <c r="C528" s="35"/>
      <c r="D528" s="35"/>
      <c r="F528" s="35"/>
      <c r="H528" s="35"/>
    </row>
    <row r="529" ht="15.75" customHeight="1">
      <c r="B529" s="35"/>
      <c r="C529" s="35"/>
      <c r="D529" s="35"/>
      <c r="F529" s="35"/>
      <c r="H529" s="35"/>
    </row>
    <row r="530" ht="15.75" customHeight="1">
      <c r="B530" s="35"/>
      <c r="C530" s="35"/>
      <c r="D530" s="35"/>
      <c r="F530" s="35"/>
      <c r="H530" s="35"/>
    </row>
    <row r="531" ht="15.75" customHeight="1">
      <c r="B531" s="35"/>
      <c r="C531" s="35"/>
      <c r="D531" s="35"/>
      <c r="F531" s="35"/>
      <c r="H531" s="35"/>
    </row>
    <row r="532" ht="15.75" customHeight="1">
      <c r="B532" s="35"/>
      <c r="C532" s="35"/>
      <c r="D532" s="35"/>
      <c r="F532" s="35"/>
      <c r="H532" s="35"/>
    </row>
    <row r="533" ht="15.75" customHeight="1">
      <c r="B533" s="35"/>
      <c r="C533" s="35"/>
      <c r="D533" s="35"/>
      <c r="F533" s="35"/>
      <c r="H533" s="35"/>
    </row>
    <row r="534" ht="15.75" customHeight="1">
      <c r="B534" s="35"/>
      <c r="C534" s="35"/>
      <c r="D534" s="35"/>
      <c r="F534" s="35"/>
      <c r="H534" s="35"/>
    </row>
    <row r="535" ht="15.75" customHeight="1">
      <c r="B535" s="35"/>
      <c r="C535" s="35"/>
      <c r="D535" s="35"/>
      <c r="F535" s="35"/>
      <c r="H535" s="35"/>
    </row>
    <row r="536" ht="15.75" customHeight="1">
      <c r="B536" s="35"/>
      <c r="C536" s="35"/>
      <c r="D536" s="35"/>
      <c r="F536" s="35"/>
      <c r="H536" s="35"/>
    </row>
    <row r="537" ht="15.75" customHeight="1">
      <c r="B537" s="35"/>
      <c r="C537" s="35"/>
      <c r="D537" s="35"/>
      <c r="F537" s="35"/>
      <c r="H537" s="35"/>
    </row>
    <row r="538" ht="15.75" customHeight="1">
      <c r="B538" s="35"/>
      <c r="C538" s="35"/>
      <c r="D538" s="35"/>
      <c r="F538" s="35"/>
      <c r="H538" s="35"/>
    </row>
    <row r="539" ht="15.75" customHeight="1">
      <c r="B539" s="35"/>
      <c r="C539" s="35"/>
      <c r="D539" s="35"/>
      <c r="F539" s="35"/>
      <c r="H539" s="35"/>
    </row>
    <row r="540" ht="15.75" customHeight="1">
      <c r="B540" s="35"/>
      <c r="C540" s="35"/>
      <c r="D540" s="35"/>
      <c r="F540" s="35"/>
      <c r="H540" s="35"/>
    </row>
    <row r="541" ht="15.75" customHeight="1">
      <c r="B541" s="35"/>
      <c r="C541" s="35"/>
      <c r="D541" s="35"/>
      <c r="F541" s="35"/>
      <c r="H541" s="35"/>
    </row>
    <row r="542" ht="15.75" customHeight="1">
      <c r="B542" s="35"/>
      <c r="C542" s="35"/>
      <c r="D542" s="35"/>
      <c r="F542" s="35"/>
      <c r="H542" s="35"/>
    </row>
    <row r="543" ht="15.75" customHeight="1">
      <c r="B543" s="35"/>
      <c r="C543" s="35"/>
      <c r="D543" s="35"/>
      <c r="F543" s="35"/>
      <c r="H543" s="35"/>
    </row>
    <row r="544" ht="15.75" customHeight="1">
      <c r="B544" s="35"/>
      <c r="C544" s="35"/>
      <c r="D544" s="35"/>
      <c r="F544" s="35"/>
      <c r="H544" s="35"/>
    </row>
    <row r="545" ht="15.75" customHeight="1">
      <c r="B545" s="35"/>
      <c r="C545" s="35"/>
      <c r="D545" s="35"/>
      <c r="F545" s="35"/>
      <c r="H545" s="35"/>
    </row>
    <row r="546" ht="15.75" customHeight="1">
      <c r="B546" s="35"/>
      <c r="C546" s="35"/>
      <c r="D546" s="35"/>
      <c r="F546" s="35"/>
      <c r="H546" s="35"/>
    </row>
    <row r="547" ht="15.75" customHeight="1">
      <c r="B547" s="35"/>
      <c r="C547" s="35"/>
      <c r="D547" s="35"/>
      <c r="F547" s="35"/>
      <c r="H547" s="35"/>
    </row>
    <row r="548" ht="15.75" customHeight="1">
      <c r="B548" s="35"/>
      <c r="C548" s="35"/>
      <c r="D548" s="35"/>
      <c r="F548" s="35"/>
      <c r="H548" s="35"/>
    </row>
    <row r="549" ht="15.75" customHeight="1">
      <c r="B549" s="35"/>
      <c r="C549" s="35"/>
      <c r="D549" s="35"/>
      <c r="F549" s="35"/>
      <c r="H549" s="35"/>
    </row>
    <row r="550" ht="15.75" customHeight="1">
      <c r="B550" s="35"/>
      <c r="C550" s="35"/>
      <c r="D550" s="35"/>
      <c r="F550" s="35"/>
      <c r="H550" s="35"/>
    </row>
    <row r="551" ht="15.75" customHeight="1">
      <c r="B551" s="35"/>
      <c r="C551" s="35"/>
      <c r="D551" s="35"/>
      <c r="F551" s="35"/>
      <c r="H551" s="35"/>
    </row>
    <row r="552" ht="15.75" customHeight="1">
      <c r="B552" s="35"/>
      <c r="C552" s="35"/>
      <c r="D552" s="35"/>
      <c r="F552" s="35"/>
      <c r="H552" s="35"/>
    </row>
    <row r="553" ht="15.75" customHeight="1">
      <c r="B553" s="35"/>
      <c r="C553" s="35"/>
      <c r="D553" s="35"/>
      <c r="F553" s="35"/>
      <c r="H553" s="35"/>
    </row>
    <row r="554" ht="15.75" customHeight="1">
      <c r="B554" s="35"/>
      <c r="C554" s="35"/>
      <c r="D554" s="35"/>
      <c r="F554" s="35"/>
      <c r="H554" s="35"/>
    </row>
    <row r="555" ht="15.75" customHeight="1">
      <c r="B555" s="35"/>
      <c r="C555" s="35"/>
      <c r="D555" s="35"/>
      <c r="F555" s="35"/>
      <c r="H555" s="35"/>
    </row>
    <row r="556" ht="15.75" customHeight="1">
      <c r="B556" s="35"/>
      <c r="C556" s="35"/>
      <c r="D556" s="35"/>
      <c r="F556" s="35"/>
      <c r="H556" s="35"/>
    </row>
    <row r="557" ht="15.75" customHeight="1">
      <c r="B557" s="35"/>
      <c r="C557" s="35"/>
      <c r="D557" s="35"/>
      <c r="F557" s="35"/>
      <c r="H557" s="35"/>
    </row>
    <row r="558" ht="15.75" customHeight="1">
      <c r="B558" s="35"/>
      <c r="C558" s="35"/>
      <c r="D558" s="35"/>
      <c r="F558" s="35"/>
      <c r="H558" s="35"/>
    </row>
    <row r="559" ht="15.75" customHeight="1">
      <c r="B559" s="35"/>
      <c r="C559" s="35"/>
      <c r="D559" s="35"/>
      <c r="F559" s="35"/>
      <c r="H559" s="35"/>
    </row>
    <row r="560" ht="15.75" customHeight="1">
      <c r="B560" s="35"/>
      <c r="C560" s="35"/>
      <c r="D560" s="35"/>
      <c r="F560" s="35"/>
      <c r="H560" s="35"/>
    </row>
    <row r="561" ht="15.75" customHeight="1">
      <c r="B561" s="35"/>
      <c r="C561" s="35"/>
      <c r="D561" s="35"/>
      <c r="F561" s="35"/>
      <c r="H561" s="35"/>
    </row>
    <row r="562" ht="15.75" customHeight="1">
      <c r="B562" s="35"/>
      <c r="C562" s="35"/>
      <c r="D562" s="35"/>
      <c r="F562" s="35"/>
      <c r="H562" s="35"/>
    </row>
    <row r="563" ht="15.75" customHeight="1">
      <c r="B563" s="35"/>
      <c r="C563" s="35"/>
      <c r="D563" s="35"/>
      <c r="F563" s="35"/>
      <c r="H563" s="35"/>
    </row>
    <row r="564" ht="15.75" customHeight="1">
      <c r="B564" s="35"/>
      <c r="C564" s="35"/>
      <c r="D564" s="35"/>
      <c r="F564" s="35"/>
      <c r="H564" s="35"/>
    </row>
    <row r="565" ht="15.75" customHeight="1">
      <c r="B565" s="35"/>
      <c r="C565" s="35"/>
      <c r="D565" s="35"/>
      <c r="F565" s="35"/>
      <c r="H565" s="35"/>
    </row>
    <row r="566" ht="15.75" customHeight="1">
      <c r="B566" s="35"/>
      <c r="C566" s="35"/>
      <c r="D566" s="35"/>
      <c r="F566" s="35"/>
      <c r="H566" s="35"/>
    </row>
    <row r="567" ht="15.75" customHeight="1">
      <c r="B567" s="35"/>
      <c r="C567" s="35"/>
      <c r="D567" s="35"/>
      <c r="F567" s="35"/>
      <c r="H567" s="35"/>
    </row>
    <row r="568" ht="15.75" customHeight="1">
      <c r="B568" s="35"/>
      <c r="C568" s="35"/>
      <c r="D568" s="35"/>
      <c r="F568" s="35"/>
      <c r="H568" s="35"/>
    </row>
    <row r="569" ht="15.75" customHeight="1">
      <c r="B569" s="35"/>
      <c r="C569" s="35"/>
      <c r="D569" s="35"/>
      <c r="F569" s="35"/>
      <c r="H569" s="35"/>
    </row>
    <row r="570" ht="15.75" customHeight="1">
      <c r="B570" s="35"/>
      <c r="C570" s="35"/>
      <c r="D570" s="35"/>
      <c r="F570" s="35"/>
      <c r="H570" s="35"/>
    </row>
    <row r="571" ht="15.75" customHeight="1">
      <c r="B571" s="35"/>
      <c r="C571" s="35"/>
      <c r="D571" s="35"/>
      <c r="F571" s="35"/>
      <c r="H571" s="35"/>
    </row>
    <row r="572" ht="15.75" customHeight="1">
      <c r="B572" s="35"/>
      <c r="C572" s="35"/>
      <c r="D572" s="35"/>
      <c r="F572" s="35"/>
      <c r="H572" s="35"/>
    </row>
    <row r="573" ht="15.75" customHeight="1">
      <c r="B573" s="35"/>
      <c r="C573" s="35"/>
      <c r="D573" s="35"/>
      <c r="F573" s="35"/>
      <c r="H573" s="35"/>
    </row>
    <row r="574" ht="15.75" customHeight="1">
      <c r="B574" s="35"/>
      <c r="C574" s="35"/>
      <c r="D574" s="35"/>
      <c r="F574" s="35"/>
      <c r="H574" s="35"/>
    </row>
    <row r="575" ht="15.75" customHeight="1">
      <c r="B575" s="35"/>
      <c r="C575" s="35"/>
      <c r="D575" s="35"/>
      <c r="F575" s="35"/>
      <c r="H575" s="35"/>
    </row>
    <row r="576" ht="15.75" customHeight="1">
      <c r="B576" s="35"/>
      <c r="C576" s="35"/>
      <c r="D576" s="35"/>
      <c r="F576" s="35"/>
      <c r="H576" s="35"/>
    </row>
    <row r="577" ht="15.75" customHeight="1">
      <c r="B577" s="35"/>
      <c r="C577" s="35"/>
      <c r="D577" s="35"/>
      <c r="F577" s="35"/>
      <c r="H577" s="35"/>
    </row>
    <row r="578" ht="15.75" customHeight="1">
      <c r="B578" s="35"/>
      <c r="C578" s="35"/>
      <c r="D578" s="35"/>
      <c r="F578" s="35"/>
      <c r="H578" s="35"/>
    </row>
    <row r="579" ht="15.75" customHeight="1">
      <c r="B579" s="35"/>
      <c r="C579" s="35"/>
      <c r="D579" s="35"/>
      <c r="F579" s="35"/>
      <c r="H579" s="35"/>
    </row>
    <row r="580" ht="15.75" customHeight="1">
      <c r="B580" s="35"/>
      <c r="C580" s="35"/>
      <c r="D580" s="35"/>
      <c r="F580" s="35"/>
      <c r="H580" s="35"/>
    </row>
    <row r="581" ht="15.75" customHeight="1">
      <c r="B581" s="35"/>
      <c r="C581" s="35"/>
      <c r="D581" s="35"/>
      <c r="F581" s="35"/>
      <c r="H581" s="35"/>
    </row>
    <row r="582" ht="15.75" customHeight="1">
      <c r="B582" s="35"/>
      <c r="C582" s="35"/>
      <c r="D582" s="35"/>
      <c r="F582" s="35"/>
      <c r="H582" s="35"/>
    </row>
    <row r="583" ht="15.75" customHeight="1">
      <c r="B583" s="35"/>
      <c r="C583" s="35"/>
      <c r="D583" s="35"/>
      <c r="F583" s="35"/>
      <c r="H583" s="35"/>
    </row>
    <row r="584" ht="15.75" customHeight="1">
      <c r="B584" s="35"/>
      <c r="C584" s="35"/>
      <c r="D584" s="35"/>
      <c r="F584" s="35"/>
      <c r="H584" s="35"/>
    </row>
    <row r="585" ht="15.75" customHeight="1">
      <c r="B585" s="35"/>
      <c r="C585" s="35"/>
      <c r="D585" s="35"/>
      <c r="F585" s="35"/>
      <c r="H585" s="35"/>
    </row>
    <row r="586" ht="15.75" customHeight="1">
      <c r="B586" s="35"/>
      <c r="C586" s="35"/>
      <c r="D586" s="35"/>
      <c r="F586" s="35"/>
      <c r="H586" s="35"/>
    </row>
    <row r="587" ht="15.75" customHeight="1">
      <c r="B587" s="35"/>
      <c r="C587" s="35"/>
      <c r="D587" s="35"/>
      <c r="F587" s="35"/>
      <c r="H587" s="35"/>
    </row>
    <row r="588" ht="15.75" customHeight="1">
      <c r="B588" s="35"/>
      <c r="C588" s="35"/>
      <c r="D588" s="35"/>
      <c r="F588" s="35"/>
      <c r="H588" s="35"/>
    </row>
    <row r="589" ht="15.75" customHeight="1">
      <c r="B589" s="35"/>
      <c r="C589" s="35"/>
      <c r="D589" s="35"/>
      <c r="F589" s="35"/>
      <c r="H589" s="35"/>
    </row>
    <row r="590" ht="15.75" customHeight="1">
      <c r="B590" s="35"/>
      <c r="C590" s="35"/>
      <c r="D590" s="35"/>
      <c r="F590" s="35"/>
      <c r="H590" s="35"/>
    </row>
    <row r="591" ht="15.75" customHeight="1">
      <c r="B591" s="35"/>
      <c r="C591" s="35"/>
      <c r="D591" s="35"/>
      <c r="F591" s="35"/>
      <c r="H591" s="35"/>
    </row>
    <row r="592" ht="15.75" customHeight="1">
      <c r="B592" s="35"/>
      <c r="C592" s="35"/>
      <c r="D592" s="35"/>
      <c r="F592" s="35"/>
      <c r="H592" s="35"/>
    </row>
    <row r="593" ht="15.75" customHeight="1">
      <c r="B593" s="35"/>
      <c r="C593" s="35"/>
      <c r="D593" s="35"/>
      <c r="F593" s="35"/>
      <c r="H593" s="35"/>
    </row>
    <row r="594" ht="15.75" customHeight="1">
      <c r="B594" s="35"/>
      <c r="C594" s="35"/>
      <c r="D594" s="35"/>
      <c r="F594" s="35"/>
      <c r="H594" s="35"/>
    </row>
    <row r="595" ht="15.75" customHeight="1">
      <c r="B595" s="35"/>
      <c r="C595" s="35"/>
      <c r="D595" s="35"/>
      <c r="F595" s="35"/>
      <c r="H595" s="35"/>
    </row>
    <row r="596" ht="15.75" customHeight="1">
      <c r="B596" s="35"/>
      <c r="C596" s="35"/>
      <c r="D596" s="35"/>
      <c r="F596" s="35"/>
      <c r="H596" s="35"/>
    </row>
    <row r="597" ht="15.75" customHeight="1">
      <c r="B597" s="35"/>
      <c r="C597" s="35"/>
      <c r="D597" s="35"/>
      <c r="F597" s="35"/>
      <c r="H597" s="35"/>
    </row>
    <row r="598" ht="15.75" customHeight="1">
      <c r="B598" s="35"/>
      <c r="C598" s="35"/>
      <c r="D598" s="35"/>
      <c r="F598" s="35"/>
      <c r="H598" s="35"/>
    </row>
    <row r="599" ht="15.75" customHeight="1">
      <c r="B599" s="35"/>
      <c r="C599" s="35"/>
      <c r="D599" s="35"/>
      <c r="F599" s="35"/>
      <c r="H599" s="35"/>
    </row>
    <row r="600" ht="15.75" customHeight="1">
      <c r="B600" s="35"/>
      <c r="C600" s="35"/>
      <c r="D600" s="35"/>
      <c r="F600" s="35"/>
      <c r="H600" s="35"/>
    </row>
    <row r="601" ht="15.75" customHeight="1">
      <c r="B601" s="35"/>
      <c r="C601" s="35"/>
      <c r="D601" s="35"/>
      <c r="F601" s="35"/>
      <c r="H601" s="35"/>
    </row>
    <row r="602" ht="15.75" customHeight="1">
      <c r="B602" s="35"/>
      <c r="C602" s="35"/>
      <c r="D602" s="35"/>
      <c r="F602" s="35"/>
      <c r="H602" s="35"/>
    </row>
    <row r="603" ht="15.75" customHeight="1">
      <c r="B603" s="35"/>
      <c r="C603" s="35"/>
      <c r="D603" s="35"/>
      <c r="F603" s="35"/>
      <c r="H603" s="35"/>
    </row>
    <row r="604" ht="15.75" customHeight="1">
      <c r="B604" s="35"/>
      <c r="C604" s="35"/>
      <c r="D604" s="35"/>
      <c r="F604" s="35"/>
      <c r="H604" s="35"/>
    </row>
    <row r="605" ht="15.75" customHeight="1">
      <c r="B605" s="35"/>
      <c r="C605" s="35"/>
      <c r="D605" s="35"/>
      <c r="F605" s="35"/>
      <c r="H605" s="35"/>
    </row>
    <row r="606" ht="15.75" customHeight="1">
      <c r="B606" s="35"/>
      <c r="C606" s="35"/>
      <c r="D606" s="35"/>
      <c r="F606" s="35"/>
      <c r="H606" s="35"/>
    </row>
    <row r="607" ht="15.75" customHeight="1">
      <c r="B607" s="35"/>
      <c r="C607" s="35"/>
      <c r="D607" s="35"/>
      <c r="F607" s="35"/>
      <c r="H607" s="35"/>
    </row>
    <row r="608" ht="15.75" customHeight="1">
      <c r="B608" s="35"/>
      <c r="C608" s="35"/>
      <c r="D608" s="35"/>
      <c r="F608" s="35"/>
      <c r="H608" s="35"/>
    </row>
    <row r="609" ht="15.75" customHeight="1">
      <c r="B609" s="35"/>
      <c r="C609" s="35"/>
      <c r="D609" s="35"/>
      <c r="F609" s="35"/>
      <c r="H609" s="35"/>
    </row>
    <row r="610" ht="15.75" customHeight="1">
      <c r="B610" s="35"/>
      <c r="C610" s="35"/>
      <c r="D610" s="35"/>
      <c r="F610" s="35"/>
      <c r="H610" s="35"/>
    </row>
    <row r="611" ht="15.75" customHeight="1">
      <c r="B611" s="35"/>
      <c r="C611" s="35"/>
      <c r="D611" s="35"/>
      <c r="F611" s="35"/>
      <c r="H611" s="35"/>
    </row>
    <row r="612" ht="15.75" customHeight="1">
      <c r="B612" s="35"/>
      <c r="C612" s="35"/>
      <c r="D612" s="35"/>
      <c r="F612" s="35"/>
      <c r="H612" s="35"/>
    </row>
    <row r="613" ht="15.75" customHeight="1">
      <c r="B613" s="35"/>
      <c r="C613" s="35"/>
      <c r="D613" s="35"/>
      <c r="F613" s="35"/>
      <c r="H613" s="35"/>
    </row>
    <row r="614" ht="15.75" customHeight="1">
      <c r="B614" s="35"/>
      <c r="C614" s="35"/>
      <c r="D614" s="35"/>
      <c r="F614" s="35"/>
      <c r="H614" s="35"/>
    </row>
    <row r="615" ht="15.75" customHeight="1">
      <c r="B615" s="35"/>
      <c r="C615" s="35"/>
      <c r="D615" s="35"/>
      <c r="F615" s="35"/>
      <c r="H615" s="35"/>
    </row>
    <row r="616" ht="15.75" customHeight="1">
      <c r="B616" s="35"/>
      <c r="C616" s="35"/>
      <c r="D616" s="35"/>
      <c r="F616" s="35"/>
      <c r="H616" s="35"/>
    </row>
    <row r="617" ht="15.75" customHeight="1">
      <c r="B617" s="35"/>
      <c r="C617" s="35"/>
      <c r="D617" s="35"/>
      <c r="F617" s="35"/>
      <c r="H617" s="35"/>
    </row>
    <row r="618" ht="15.75" customHeight="1">
      <c r="B618" s="35"/>
      <c r="C618" s="35"/>
      <c r="D618" s="35"/>
      <c r="F618" s="35"/>
      <c r="H618" s="35"/>
    </row>
    <row r="619" ht="15.75" customHeight="1">
      <c r="B619" s="35"/>
      <c r="C619" s="35"/>
      <c r="D619" s="35"/>
      <c r="F619" s="35"/>
      <c r="H619" s="35"/>
    </row>
    <row r="620" ht="15.75" customHeight="1">
      <c r="B620" s="35"/>
      <c r="C620" s="35"/>
      <c r="D620" s="35"/>
      <c r="F620" s="35"/>
      <c r="H620" s="35"/>
    </row>
    <row r="621" ht="15.75" customHeight="1">
      <c r="B621" s="35"/>
      <c r="C621" s="35"/>
      <c r="D621" s="35"/>
      <c r="F621" s="35"/>
      <c r="H621" s="35"/>
    </row>
    <row r="622" ht="15.75" customHeight="1">
      <c r="B622" s="35"/>
      <c r="C622" s="35"/>
      <c r="D622" s="35"/>
      <c r="F622" s="35"/>
      <c r="H622" s="35"/>
    </row>
    <row r="623" ht="15.75" customHeight="1">
      <c r="B623" s="35"/>
      <c r="C623" s="35"/>
      <c r="D623" s="35"/>
      <c r="F623" s="35"/>
      <c r="H623" s="35"/>
    </row>
    <row r="624" ht="15.75" customHeight="1">
      <c r="B624" s="35"/>
      <c r="C624" s="35"/>
      <c r="D624" s="35"/>
      <c r="F624" s="35"/>
      <c r="H624" s="35"/>
    </row>
    <row r="625" ht="15.75" customHeight="1">
      <c r="B625" s="35"/>
      <c r="C625" s="35"/>
      <c r="D625" s="35"/>
      <c r="F625" s="35"/>
      <c r="H625" s="35"/>
    </row>
    <row r="626" ht="15.75" customHeight="1">
      <c r="B626" s="35"/>
      <c r="C626" s="35"/>
      <c r="D626" s="35"/>
      <c r="F626" s="35"/>
      <c r="H626" s="35"/>
    </row>
    <row r="627" ht="15.75" customHeight="1">
      <c r="B627" s="35"/>
      <c r="C627" s="35"/>
      <c r="D627" s="35"/>
      <c r="F627" s="35"/>
      <c r="H627" s="35"/>
    </row>
    <row r="628" ht="15.75" customHeight="1">
      <c r="B628" s="35"/>
      <c r="C628" s="35"/>
      <c r="D628" s="35"/>
      <c r="F628" s="35"/>
      <c r="H628" s="35"/>
    </row>
    <row r="629" ht="15.75" customHeight="1">
      <c r="B629" s="35"/>
      <c r="C629" s="35"/>
      <c r="D629" s="35"/>
      <c r="F629" s="35"/>
      <c r="H629" s="35"/>
    </row>
    <row r="630" ht="15.75" customHeight="1">
      <c r="B630" s="35"/>
      <c r="C630" s="35"/>
      <c r="D630" s="35"/>
      <c r="F630" s="35"/>
      <c r="H630" s="35"/>
    </row>
    <row r="631" ht="15.75" customHeight="1">
      <c r="B631" s="35"/>
      <c r="C631" s="35"/>
      <c r="D631" s="35"/>
      <c r="F631" s="35"/>
      <c r="H631" s="35"/>
    </row>
    <row r="632" ht="15.75" customHeight="1">
      <c r="B632" s="35"/>
      <c r="C632" s="35"/>
      <c r="D632" s="35"/>
      <c r="F632" s="35"/>
      <c r="H632" s="35"/>
    </row>
    <row r="633" ht="15.75" customHeight="1">
      <c r="B633" s="35"/>
      <c r="C633" s="35"/>
      <c r="D633" s="35"/>
      <c r="F633" s="35"/>
      <c r="H633" s="35"/>
    </row>
    <row r="634" ht="15.75" customHeight="1">
      <c r="B634" s="35"/>
      <c r="C634" s="35"/>
      <c r="D634" s="35"/>
      <c r="F634" s="35"/>
      <c r="H634" s="35"/>
    </row>
    <row r="635" ht="15.75" customHeight="1">
      <c r="B635" s="35"/>
      <c r="C635" s="35"/>
      <c r="D635" s="35"/>
      <c r="F635" s="35"/>
      <c r="H635" s="35"/>
    </row>
    <row r="636" ht="15.75" customHeight="1">
      <c r="B636" s="35"/>
      <c r="C636" s="35"/>
      <c r="D636" s="35"/>
      <c r="F636" s="35"/>
      <c r="H636" s="35"/>
    </row>
    <row r="637" ht="15.75" customHeight="1">
      <c r="B637" s="35"/>
      <c r="C637" s="35"/>
      <c r="D637" s="35"/>
      <c r="F637" s="35"/>
      <c r="H637" s="35"/>
    </row>
    <row r="638" ht="15.75" customHeight="1">
      <c r="B638" s="35"/>
      <c r="C638" s="35"/>
      <c r="D638" s="35"/>
      <c r="F638" s="35"/>
      <c r="H638" s="35"/>
    </row>
    <row r="639" ht="15.75" customHeight="1">
      <c r="B639" s="35"/>
      <c r="C639" s="35"/>
      <c r="D639" s="35"/>
      <c r="F639" s="35"/>
      <c r="H639" s="35"/>
    </row>
    <row r="640" ht="15.75" customHeight="1">
      <c r="B640" s="35"/>
      <c r="C640" s="35"/>
      <c r="D640" s="35"/>
      <c r="F640" s="35"/>
      <c r="H640" s="35"/>
    </row>
    <row r="641" ht="15.75" customHeight="1">
      <c r="B641" s="35"/>
      <c r="C641" s="35"/>
      <c r="D641" s="35"/>
      <c r="F641" s="35"/>
      <c r="H641" s="35"/>
    </row>
    <row r="642" ht="15.75" customHeight="1">
      <c r="B642" s="35"/>
      <c r="C642" s="35"/>
      <c r="D642" s="35"/>
      <c r="F642" s="35"/>
      <c r="H642" s="35"/>
    </row>
    <row r="643" ht="15.75" customHeight="1">
      <c r="B643" s="35"/>
      <c r="C643" s="35"/>
      <c r="D643" s="35"/>
      <c r="F643" s="35"/>
      <c r="H643" s="35"/>
    </row>
    <row r="644" ht="15.75" customHeight="1">
      <c r="B644" s="35"/>
      <c r="C644" s="35"/>
      <c r="D644" s="35"/>
      <c r="F644" s="35"/>
      <c r="H644" s="35"/>
    </row>
    <row r="645" ht="15.75" customHeight="1">
      <c r="B645" s="35"/>
      <c r="C645" s="35"/>
      <c r="D645" s="35"/>
      <c r="F645" s="35"/>
      <c r="H645" s="35"/>
    </row>
    <row r="646" ht="15.75" customHeight="1">
      <c r="B646" s="35"/>
      <c r="C646" s="35"/>
      <c r="D646" s="35"/>
      <c r="F646" s="35"/>
      <c r="H646" s="35"/>
    </row>
    <row r="647" ht="15.75" customHeight="1">
      <c r="B647" s="35"/>
      <c r="C647" s="35"/>
      <c r="D647" s="35"/>
      <c r="F647" s="35"/>
      <c r="H647" s="35"/>
    </row>
    <row r="648" ht="15.75" customHeight="1">
      <c r="B648" s="35"/>
      <c r="C648" s="35"/>
      <c r="D648" s="35"/>
      <c r="F648" s="35"/>
      <c r="H648" s="35"/>
    </row>
    <row r="649" ht="15.75" customHeight="1">
      <c r="B649" s="35"/>
      <c r="C649" s="35"/>
      <c r="D649" s="35"/>
      <c r="F649" s="35"/>
      <c r="H649" s="35"/>
    </row>
    <row r="650" ht="15.75" customHeight="1">
      <c r="B650" s="35"/>
      <c r="C650" s="35"/>
      <c r="D650" s="35"/>
      <c r="F650" s="35"/>
      <c r="H650" s="35"/>
    </row>
    <row r="651" ht="15.75" customHeight="1">
      <c r="B651" s="35"/>
      <c r="C651" s="35"/>
      <c r="D651" s="35"/>
      <c r="F651" s="35"/>
      <c r="H651" s="35"/>
    </row>
    <row r="652" ht="15.75" customHeight="1">
      <c r="B652" s="35"/>
      <c r="C652" s="35"/>
      <c r="D652" s="35"/>
      <c r="F652" s="35"/>
      <c r="H652" s="35"/>
    </row>
    <row r="653" ht="15.75" customHeight="1">
      <c r="B653" s="35"/>
      <c r="C653" s="35"/>
      <c r="D653" s="35"/>
      <c r="F653" s="35"/>
      <c r="H653" s="35"/>
    </row>
    <row r="654" ht="15.75" customHeight="1">
      <c r="B654" s="35"/>
      <c r="C654" s="35"/>
      <c r="D654" s="35"/>
      <c r="F654" s="35"/>
      <c r="H654" s="35"/>
    </row>
    <row r="655" ht="15.75" customHeight="1">
      <c r="B655" s="35"/>
      <c r="C655" s="35"/>
      <c r="D655" s="35"/>
      <c r="F655" s="35"/>
      <c r="H655" s="35"/>
    </row>
    <row r="656" ht="15.75" customHeight="1">
      <c r="B656" s="35"/>
      <c r="C656" s="35"/>
      <c r="D656" s="35"/>
      <c r="F656" s="35"/>
      <c r="H656" s="35"/>
    </row>
    <row r="657" ht="15.75" customHeight="1">
      <c r="B657" s="35"/>
      <c r="C657" s="35"/>
      <c r="D657" s="35"/>
      <c r="F657" s="35"/>
      <c r="H657" s="35"/>
    </row>
    <row r="658" ht="15.75" customHeight="1">
      <c r="B658" s="35"/>
      <c r="C658" s="35"/>
      <c r="D658" s="35"/>
      <c r="F658" s="35"/>
      <c r="H658" s="35"/>
    </row>
    <row r="659" ht="15.75" customHeight="1">
      <c r="B659" s="35"/>
      <c r="C659" s="35"/>
      <c r="D659" s="35"/>
      <c r="F659" s="35"/>
      <c r="H659" s="35"/>
    </row>
    <row r="660" ht="15.75" customHeight="1">
      <c r="B660" s="35"/>
      <c r="C660" s="35"/>
      <c r="D660" s="35"/>
      <c r="F660" s="35"/>
      <c r="H660" s="35"/>
    </row>
    <row r="661" ht="15.75" customHeight="1">
      <c r="B661" s="35"/>
      <c r="C661" s="35"/>
      <c r="D661" s="35"/>
      <c r="F661" s="35"/>
      <c r="H661" s="35"/>
    </row>
    <row r="662" ht="15.75" customHeight="1">
      <c r="B662" s="35"/>
      <c r="C662" s="35"/>
      <c r="D662" s="35"/>
      <c r="F662" s="35"/>
      <c r="H662" s="35"/>
    </row>
    <row r="663" ht="15.75" customHeight="1">
      <c r="B663" s="35"/>
      <c r="C663" s="35"/>
      <c r="D663" s="35"/>
      <c r="F663" s="35"/>
      <c r="H663" s="35"/>
    </row>
    <row r="664" ht="15.75" customHeight="1">
      <c r="B664" s="35"/>
      <c r="C664" s="35"/>
      <c r="D664" s="35"/>
      <c r="F664" s="35"/>
      <c r="H664" s="35"/>
    </row>
    <row r="665" ht="15.75" customHeight="1">
      <c r="B665" s="35"/>
      <c r="C665" s="35"/>
      <c r="D665" s="35"/>
      <c r="F665" s="35"/>
      <c r="H665" s="35"/>
    </row>
    <row r="666" ht="15.75" customHeight="1">
      <c r="B666" s="35"/>
      <c r="C666" s="35"/>
      <c r="D666" s="35"/>
      <c r="F666" s="35"/>
      <c r="H666" s="35"/>
    </row>
    <row r="667" ht="15.75" customHeight="1">
      <c r="B667" s="35"/>
      <c r="C667" s="35"/>
      <c r="D667" s="35"/>
      <c r="F667" s="35"/>
      <c r="H667" s="35"/>
    </row>
    <row r="668" ht="15.75" customHeight="1">
      <c r="B668" s="35"/>
      <c r="C668" s="35"/>
      <c r="D668" s="35"/>
      <c r="F668" s="35"/>
      <c r="H668" s="35"/>
    </row>
    <row r="669" ht="15.75" customHeight="1">
      <c r="B669" s="35"/>
      <c r="C669" s="35"/>
      <c r="D669" s="35"/>
      <c r="F669" s="35"/>
      <c r="H669" s="35"/>
    </row>
    <row r="670" ht="15.75" customHeight="1">
      <c r="B670" s="35"/>
      <c r="C670" s="35"/>
      <c r="D670" s="35"/>
      <c r="F670" s="35"/>
      <c r="H670" s="35"/>
    </row>
    <row r="671" ht="15.75" customHeight="1">
      <c r="B671" s="35"/>
      <c r="C671" s="35"/>
      <c r="D671" s="35"/>
      <c r="F671" s="35"/>
      <c r="H671" s="35"/>
    </row>
    <row r="672" ht="15.75" customHeight="1">
      <c r="B672" s="35"/>
      <c r="C672" s="35"/>
      <c r="D672" s="35"/>
      <c r="F672" s="35"/>
      <c r="H672" s="35"/>
    </row>
    <row r="673" ht="15.75" customHeight="1">
      <c r="B673" s="35"/>
      <c r="C673" s="35"/>
      <c r="D673" s="35"/>
      <c r="F673" s="35"/>
      <c r="H673" s="35"/>
    </row>
    <row r="674" ht="15.75" customHeight="1">
      <c r="B674" s="35"/>
      <c r="C674" s="35"/>
      <c r="D674" s="35"/>
      <c r="F674" s="35"/>
      <c r="H674" s="35"/>
    </row>
    <row r="675" ht="15.75" customHeight="1">
      <c r="B675" s="35"/>
      <c r="C675" s="35"/>
      <c r="D675" s="35"/>
      <c r="F675" s="35"/>
      <c r="H675" s="35"/>
    </row>
    <row r="676" ht="15.75" customHeight="1">
      <c r="B676" s="35"/>
      <c r="C676" s="35"/>
      <c r="D676" s="35"/>
      <c r="F676" s="35"/>
      <c r="H676" s="35"/>
    </row>
    <row r="677" ht="15.75" customHeight="1">
      <c r="B677" s="35"/>
      <c r="C677" s="35"/>
      <c r="D677" s="35"/>
      <c r="F677" s="35"/>
      <c r="H677" s="35"/>
    </row>
    <row r="678" ht="15.75" customHeight="1">
      <c r="B678" s="35"/>
      <c r="C678" s="35"/>
      <c r="D678" s="35"/>
      <c r="F678" s="35"/>
      <c r="H678" s="35"/>
    </row>
    <row r="679" ht="15.75" customHeight="1">
      <c r="B679" s="35"/>
      <c r="C679" s="35"/>
      <c r="D679" s="35"/>
      <c r="F679" s="35"/>
      <c r="H679" s="35"/>
    </row>
    <row r="680" ht="15.75" customHeight="1">
      <c r="B680" s="35"/>
      <c r="C680" s="35"/>
      <c r="D680" s="35"/>
      <c r="F680" s="35"/>
      <c r="H680" s="35"/>
    </row>
    <row r="681" ht="15.75" customHeight="1">
      <c r="B681" s="35"/>
      <c r="C681" s="35"/>
      <c r="D681" s="35"/>
      <c r="F681" s="35"/>
      <c r="H681" s="35"/>
    </row>
    <row r="682" ht="15.75" customHeight="1">
      <c r="B682" s="35"/>
      <c r="C682" s="35"/>
      <c r="D682" s="35"/>
      <c r="F682" s="35"/>
      <c r="H682" s="35"/>
    </row>
    <row r="683" ht="15.75" customHeight="1">
      <c r="B683" s="35"/>
      <c r="C683" s="35"/>
      <c r="D683" s="35"/>
      <c r="F683" s="35"/>
      <c r="H683" s="35"/>
    </row>
    <row r="684" ht="15.75" customHeight="1">
      <c r="B684" s="35"/>
      <c r="C684" s="35"/>
      <c r="D684" s="35"/>
      <c r="F684" s="35"/>
      <c r="H684" s="35"/>
    </row>
    <row r="685" ht="15.75" customHeight="1">
      <c r="B685" s="35"/>
      <c r="C685" s="35"/>
      <c r="D685" s="35"/>
      <c r="F685" s="35"/>
      <c r="H685" s="35"/>
    </row>
    <row r="686" ht="15.75" customHeight="1">
      <c r="B686" s="35"/>
      <c r="C686" s="35"/>
      <c r="D686" s="35"/>
      <c r="F686" s="35"/>
      <c r="H686" s="35"/>
    </row>
    <row r="687" ht="15.75" customHeight="1">
      <c r="B687" s="35"/>
      <c r="C687" s="35"/>
      <c r="D687" s="35"/>
      <c r="F687" s="35"/>
      <c r="H687" s="35"/>
    </row>
    <row r="688" ht="15.75" customHeight="1">
      <c r="B688" s="35"/>
      <c r="C688" s="35"/>
      <c r="D688" s="35"/>
      <c r="F688" s="35"/>
      <c r="H688" s="35"/>
    </row>
    <row r="689" ht="15.75" customHeight="1">
      <c r="B689" s="35"/>
      <c r="C689" s="35"/>
      <c r="D689" s="35"/>
      <c r="F689" s="35"/>
      <c r="H689" s="35"/>
    </row>
    <row r="690" ht="15.75" customHeight="1">
      <c r="B690" s="35"/>
      <c r="C690" s="35"/>
      <c r="D690" s="35"/>
      <c r="F690" s="35"/>
      <c r="H690" s="35"/>
    </row>
    <row r="691" ht="15.75" customHeight="1">
      <c r="B691" s="35"/>
      <c r="C691" s="35"/>
      <c r="D691" s="35"/>
      <c r="F691" s="35"/>
      <c r="H691" s="35"/>
    </row>
    <row r="692" ht="15.75" customHeight="1">
      <c r="B692" s="35"/>
      <c r="C692" s="35"/>
      <c r="D692" s="35"/>
      <c r="F692" s="35"/>
      <c r="H692" s="35"/>
    </row>
    <row r="693" ht="15.75" customHeight="1">
      <c r="B693" s="35"/>
      <c r="C693" s="35"/>
      <c r="D693" s="35"/>
      <c r="F693" s="35"/>
      <c r="H693" s="35"/>
    </row>
    <row r="694" ht="15.75" customHeight="1">
      <c r="B694" s="35"/>
      <c r="C694" s="35"/>
      <c r="D694" s="35"/>
      <c r="F694" s="35"/>
      <c r="H694" s="35"/>
    </row>
    <row r="695" ht="15.75" customHeight="1">
      <c r="B695" s="35"/>
      <c r="C695" s="35"/>
      <c r="D695" s="35"/>
      <c r="F695" s="35"/>
      <c r="H695" s="35"/>
    </row>
    <row r="696" ht="15.75" customHeight="1">
      <c r="B696" s="35"/>
      <c r="C696" s="35"/>
      <c r="D696" s="35"/>
      <c r="F696" s="35"/>
      <c r="H696" s="35"/>
    </row>
    <row r="697" ht="15.75" customHeight="1">
      <c r="B697" s="35"/>
      <c r="C697" s="35"/>
      <c r="D697" s="35"/>
      <c r="F697" s="35"/>
      <c r="H697" s="35"/>
    </row>
    <row r="698" ht="15.75" customHeight="1">
      <c r="B698" s="35"/>
      <c r="C698" s="35"/>
      <c r="D698" s="35"/>
      <c r="F698" s="35"/>
      <c r="H698" s="35"/>
    </row>
    <row r="699" ht="15.75" customHeight="1">
      <c r="B699" s="35"/>
      <c r="C699" s="35"/>
      <c r="D699" s="35"/>
      <c r="F699" s="35"/>
      <c r="H699" s="35"/>
    </row>
    <row r="700" ht="15.75" customHeight="1">
      <c r="B700" s="35"/>
      <c r="C700" s="35"/>
      <c r="D700" s="35"/>
      <c r="F700" s="35"/>
      <c r="H700" s="35"/>
    </row>
    <row r="701" ht="15.75" customHeight="1">
      <c r="B701" s="35"/>
      <c r="C701" s="35"/>
      <c r="D701" s="35"/>
      <c r="F701" s="35"/>
      <c r="H701" s="35"/>
    </row>
    <row r="702" ht="15.75" customHeight="1">
      <c r="B702" s="35"/>
      <c r="C702" s="35"/>
      <c r="D702" s="35"/>
      <c r="F702" s="35"/>
      <c r="H702" s="35"/>
    </row>
    <row r="703" ht="15.75" customHeight="1">
      <c r="B703" s="35"/>
      <c r="C703" s="35"/>
      <c r="D703" s="35"/>
      <c r="F703" s="35"/>
      <c r="H703" s="35"/>
    </row>
    <row r="704" ht="15.75" customHeight="1">
      <c r="B704" s="35"/>
      <c r="C704" s="35"/>
      <c r="D704" s="35"/>
      <c r="F704" s="35"/>
      <c r="H704" s="35"/>
    </row>
    <row r="705" ht="15.75" customHeight="1">
      <c r="B705" s="35"/>
      <c r="C705" s="35"/>
      <c r="D705" s="35"/>
      <c r="F705" s="35"/>
      <c r="H705" s="35"/>
    </row>
    <row r="706" ht="15.75" customHeight="1">
      <c r="B706" s="35"/>
      <c r="C706" s="35"/>
      <c r="D706" s="35"/>
      <c r="F706" s="35"/>
      <c r="H706" s="35"/>
    </row>
    <row r="707" ht="15.75" customHeight="1">
      <c r="B707" s="35"/>
      <c r="C707" s="35"/>
      <c r="D707" s="35"/>
      <c r="F707" s="35"/>
      <c r="H707" s="35"/>
    </row>
    <row r="708" ht="15.75" customHeight="1">
      <c r="B708" s="35"/>
      <c r="C708" s="35"/>
      <c r="D708" s="35"/>
      <c r="F708" s="35"/>
      <c r="H708" s="35"/>
    </row>
    <row r="709" ht="15.75" customHeight="1">
      <c r="B709" s="35"/>
      <c r="C709" s="35"/>
      <c r="D709" s="35"/>
      <c r="F709" s="35"/>
      <c r="H709" s="35"/>
    </row>
    <row r="710" ht="15.75" customHeight="1">
      <c r="B710" s="35"/>
      <c r="C710" s="35"/>
      <c r="D710" s="35"/>
      <c r="F710" s="35"/>
      <c r="H710" s="35"/>
    </row>
    <row r="711" ht="15.75" customHeight="1">
      <c r="B711" s="35"/>
      <c r="C711" s="35"/>
      <c r="D711" s="35"/>
      <c r="F711" s="35"/>
      <c r="H711" s="35"/>
    </row>
    <row r="712" ht="15.75" customHeight="1">
      <c r="B712" s="35"/>
      <c r="C712" s="35"/>
      <c r="D712" s="35"/>
      <c r="F712" s="35"/>
      <c r="H712" s="35"/>
    </row>
    <row r="713" ht="15.75" customHeight="1">
      <c r="B713" s="35"/>
      <c r="C713" s="35"/>
      <c r="D713" s="35"/>
      <c r="F713" s="35"/>
      <c r="H713" s="35"/>
    </row>
    <row r="714" ht="15.75" customHeight="1">
      <c r="B714" s="35"/>
      <c r="C714" s="35"/>
      <c r="D714" s="35"/>
      <c r="F714" s="35"/>
      <c r="H714" s="35"/>
    </row>
    <row r="715" ht="15.75" customHeight="1">
      <c r="B715" s="35"/>
      <c r="C715" s="35"/>
      <c r="D715" s="35"/>
      <c r="F715" s="35"/>
      <c r="H715" s="35"/>
    </row>
    <row r="716" ht="15.75" customHeight="1">
      <c r="B716" s="35"/>
      <c r="C716" s="35"/>
      <c r="D716" s="35"/>
      <c r="F716" s="35"/>
      <c r="H716" s="35"/>
    </row>
    <row r="717" ht="15.75" customHeight="1">
      <c r="B717" s="35"/>
      <c r="C717" s="35"/>
      <c r="D717" s="35"/>
      <c r="F717" s="35"/>
      <c r="H717" s="35"/>
    </row>
    <row r="718" ht="15.75" customHeight="1">
      <c r="B718" s="35"/>
      <c r="C718" s="35"/>
      <c r="D718" s="35"/>
      <c r="F718" s="35"/>
      <c r="H718" s="35"/>
    </row>
    <row r="719" ht="15.75" customHeight="1">
      <c r="B719" s="35"/>
      <c r="C719" s="35"/>
      <c r="D719" s="35"/>
      <c r="F719" s="35"/>
      <c r="H719" s="35"/>
    </row>
    <row r="720" ht="15.75" customHeight="1">
      <c r="B720" s="35"/>
      <c r="C720" s="35"/>
      <c r="D720" s="35"/>
      <c r="F720" s="35"/>
      <c r="H720" s="35"/>
    </row>
    <row r="721" ht="15.75" customHeight="1">
      <c r="B721" s="35"/>
      <c r="C721" s="35"/>
      <c r="D721" s="35"/>
      <c r="F721" s="35"/>
      <c r="H721" s="35"/>
    </row>
    <row r="722" ht="15.75" customHeight="1">
      <c r="B722" s="35"/>
      <c r="C722" s="35"/>
      <c r="D722" s="35"/>
      <c r="F722" s="35"/>
      <c r="H722" s="35"/>
    </row>
    <row r="723" ht="15.75" customHeight="1">
      <c r="B723" s="35"/>
      <c r="C723" s="35"/>
      <c r="D723" s="35"/>
      <c r="F723" s="35"/>
      <c r="H723" s="35"/>
    </row>
    <row r="724" ht="15.75" customHeight="1">
      <c r="B724" s="35"/>
      <c r="C724" s="35"/>
      <c r="D724" s="35"/>
      <c r="F724" s="35"/>
      <c r="H724" s="35"/>
    </row>
    <row r="725" ht="15.75" customHeight="1">
      <c r="B725" s="35"/>
      <c r="C725" s="35"/>
      <c r="D725" s="35"/>
      <c r="F725" s="35"/>
      <c r="H725" s="35"/>
    </row>
    <row r="726" ht="15.75" customHeight="1">
      <c r="B726" s="35"/>
      <c r="C726" s="35"/>
      <c r="D726" s="35"/>
      <c r="F726" s="35"/>
      <c r="H726" s="35"/>
    </row>
    <row r="727" ht="15.75" customHeight="1">
      <c r="B727" s="35"/>
      <c r="C727" s="35"/>
      <c r="D727" s="35"/>
      <c r="F727" s="35"/>
      <c r="H727" s="35"/>
    </row>
    <row r="728" ht="15.75" customHeight="1">
      <c r="B728" s="35"/>
      <c r="C728" s="35"/>
      <c r="D728" s="35"/>
      <c r="F728" s="35"/>
      <c r="H728" s="35"/>
    </row>
    <row r="729" ht="15.75" customHeight="1">
      <c r="B729" s="35"/>
      <c r="C729" s="35"/>
      <c r="D729" s="35"/>
      <c r="F729" s="35"/>
      <c r="H729" s="35"/>
    </row>
    <row r="730" ht="15.75" customHeight="1">
      <c r="B730" s="35"/>
      <c r="C730" s="35"/>
      <c r="D730" s="35"/>
      <c r="F730" s="35"/>
      <c r="H730" s="35"/>
    </row>
    <row r="731" ht="15.75" customHeight="1">
      <c r="B731" s="35"/>
      <c r="C731" s="35"/>
      <c r="D731" s="35"/>
      <c r="F731" s="35"/>
      <c r="H731" s="35"/>
    </row>
    <row r="732" ht="15.75" customHeight="1">
      <c r="B732" s="35"/>
      <c r="C732" s="35"/>
      <c r="D732" s="35"/>
      <c r="F732" s="35"/>
      <c r="H732" s="35"/>
    </row>
    <row r="733" ht="15.75" customHeight="1">
      <c r="B733" s="35"/>
      <c r="C733" s="35"/>
      <c r="D733" s="35"/>
      <c r="F733" s="35"/>
      <c r="H733" s="35"/>
    </row>
    <row r="734" ht="15.75" customHeight="1">
      <c r="B734" s="35"/>
      <c r="C734" s="35"/>
      <c r="D734" s="35"/>
      <c r="F734" s="35"/>
      <c r="H734" s="35"/>
    </row>
    <row r="735" ht="15.75" customHeight="1">
      <c r="B735" s="35"/>
      <c r="C735" s="35"/>
      <c r="D735" s="35"/>
      <c r="F735" s="35"/>
      <c r="H735" s="35"/>
    </row>
    <row r="736" ht="15.75" customHeight="1">
      <c r="B736" s="35"/>
      <c r="C736" s="35"/>
      <c r="D736" s="35"/>
      <c r="F736" s="35"/>
      <c r="H736" s="35"/>
    </row>
    <row r="737" ht="15.75" customHeight="1">
      <c r="B737" s="35"/>
      <c r="C737" s="35"/>
      <c r="D737" s="35"/>
      <c r="F737" s="35"/>
      <c r="H737" s="35"/>
    </row>
    <row r="738" ht="15.75" customHeight="1">
      <c r="B738" s="35"/>
      <c r="C738" s="35"/>
      <c r="D738" s="35"/>
      <c r="F738" s="35"/>
      <c r="H738" s="35"/>
    </row>
    <row r="739" ht="15.75" customHeight="1">
      <c r="B739" s="35"/>
      <c r="C739" s="35"/>
      <c r="D739" s="35"/>
      <c r="F739" s="35"/>
      <c r="H739" s="35"/>
    </row>
    <row r="740" ht="15.75" customHeight="1">
      <c r="B740" s="35"/>
      <c r="C740" s="35"/>
      <c r="D740" s="35"/>
      <c r="F740" s="35"/>
      <c r="H740" s="35"/>
    </row>
    <row r="741" ht="15.75" customHeight="1">
      <c r="B741" s="35"/>
      <c r="C741" s="35"/>
      <c r="D741" s="35"/>
      <c r="F741" s="35"/>
      <c r="H741" s="35"/>
    </row>
    <row r="742" ht="15.75" customHeight="1">
      <c r="B742" s="35"/>
      <c r="C742" s="35"/>
      <c r="D742" s="35"/>
      <c r="F742" s="35"/>
      <c r="H742" s="35"/>
    </row>
    <row r="743" ht="15.75" customHeight="1">
      <c r="B743" s="35"/>
      <c r="C743" s="35"/>
      <c r="D743" s="35"/>
      <c r="F743" s="35"/>
      <c r="H743" s="35"/>
    </row>
    <row r="744" ht="15.75" customHeight="1">
      <c r="B744" s="35"/>
      <c r="C744" s="35"/>
      <c r="D744" s="35"/>
      <c r="F744" s="35"/>
      <c r="H744" s="35"/>
    </row>
    <row r="745" ht="15.75" customHeight="1">
      <c r="B745" s="35"/>
      <c r="C745" s="35"/>
      <c r="D745" s="35"/>
      <c r="F745" s="35"/>
      <c r="H745" s="35"/>
    </row>
    <row r="746" ht="15.75" customHeight="1">
      <c r="B746" s="35"/>
      <c r="C746" s="35"/>
      <c r="D746" s="35"/>
      <c r="F746" s="35"/>
      <c r="H746" s="35"/>
    </row>
    <row r="747" ht="15.75" customHeight="1">
      <c r="B747" s="35"/>
      <c r="C747" s="35"/>
      <c r="D747" s="35"/>
      <c r="F747" s="35"/>
      <c r="H747" s="35"/>
    </row>
    <row r="748" ht="15.75" customHeight="1">
      <c r="B748" s="35"/>
      <c r="C748" s="35"/>
      <c r="D748" s="35"/>
      <c r="F748" s="35"/>
      <c r="H748" s="35"/>
    </row>
    <row r="749" ht="15.75" customHeight="1">
      <c r="B749" s="35"/>
      <c r="C749" s="35"/>
      <c r="D749" s="35"/>
      <c r="F749" s="35"/>
      <c r="H749" s="35"/>
    </row>
    <row r="750" ht="15.75" customHeight="1">
      <c r="B750" s="35"/>
      <c r="C750" s="35"/>
      <c r="D750" s="35"/>
      <c r="F750" s="35"/>
      <c r="H750" s="35"/>
    </row>
    <row r="751" ht="15.75" customHeight="1">
      <c r="B751" s="35"/>
      <c r="C751" s="35"/>
      <c r="D751" s="35"/>
      <c r="F751" s="35"/>
      <c r="H751" s="35"/>
    </row>
    <row r="752" ht="15.75" customHeight="1">
      <c r="B752" s="35"/>
      <c r="C752" s="35"/>
      <c r="D752" s="35"/>
      <c r="F752" s="35"/>
      <c r="H752" s="35"/>
    </row>
    <row r="753" ht="15.75" customHeight="1">
      <c r="B753" s="35"/>
      <c r="C753" s="35"/>
      <c r="D753" s="35"/>
      <c r="F753" s="35"/>
      <c r="H753" s="35"/>
    </row>
    <row r="754" ht="15.75" customHeight="1">
      <c r="B754" s="35"/>
      <c r="C754" s="35"/>
      <c r="D754" s="35"/>
      <c r="F754" s="35"/>
      <c r="H754" s="35"/>
    </row>
    <row r="755" ht="15.75" customHeight="1">
      <c r="B755" s="35"/>
      <c r="C755" s="35"/>
      <c r="D755" s="35"/>
      <c r="F755" s="35"/>
      <c r="H755" s="35"/>
    </row>
    <row r="756" ht="15.75" customHeight="1">
      <c r="B756" s="35"/>
      <c r="C756" s="35"/>
      <c r="D756" s="35"/>
      <c r="F756" s="35"/>
      <c r="H756" s="35"/>
    </row>
    <row r="757" ht="15.75" customHeight="1">
      <c r="B757" s="35"/>
      <c r="C757" s="35"/>
      <c r="D757" s="35"/>
      <c r="F757" s="35"/>
      <c r="H757" s="35"/>
    </row>
    <row r="758" ht="15.75" customHeight="1">
      <c r="B758" s="35"/>
      <c r="C758" s="35"/>
      <c r="D758" s="35"/>
      <c r="F758" s="35"/>
      <c r="H758" s="35"/>
    </row>
    <row r="759" ht="15.75" customHeight="1">
      <c r="B759" s="35"/>
      <c r="C759" s="35"/>
      <c r="D759" s="35"/>
      <c r="F759" s="35"/>
      <c r="H759" s="35"/>
    </row>
    <row r="760" ht="15.75" customHeight="1">
      <c r="B760" s="35"/>
      <c r="C760" s="35"/>
      <c r="D760" s="35"/>
      <c r="F760" s="35"/>
      <c r="H760" s="35"/>
    </row>
    <row r="761" ht="15.75" customHeight="1">
      <c r="B761" s="35"/>
      <c r="C761" s="35"/>
      <c r="D761" s="35"/>
      <c r="F761" s="35"/>
      <c r="H761" s="35"/>
    </row>
    <row r="762" ht="15.75" customHeight="1">
      <c r="B762" s="35"/>
      <c r="C762" s="35"/>
      <c r="D762" s="35"/>
      <c r="F762" s="35"/>
      <c r="H762" s="35"/>
    </row>
    <row r="763" ht="15.75" customHeight="1">
      <c r="B763" s="35"/>
      <c r="C763" s="35"/>
      <c r="D763" s="35"/>
      <c r="F763" s="35"/>
      <c r="H763" s="35"/>
    </row>
    <row r="764" ht="15.75" customHeight="1">
      <c r="B764" s="35"/>
      <c r="C764" s="35"/>
      <c r="D764" s="35"/>
      <c r="F764" s="35"/>
      <c r="H764" s="35"/>
    </row>
    <row r="765" ht="15.75" customHeight="1">
      <c r="B765" s="35"/>
      <c r="C765" s="35"/>
      <c r="D765" s="35"/>
      <c r="F765" s="35"/>
      <c r="H765" s="35"/>
    </row>
    <row r="766" ht="15.75" customHeight="1">
      <c r="B766" s="35"/>
      <c r="C766" s="35"/>
      <c r="D766" s="35"/>
      <c r="F766" s="35"/>
      <c r="H766" s="35"/>
    </row>
    <row r="767" ht="15.75" customHeight="1">
      <c r="B767" s="35"/>
      <c r="C767" s="35"/>
      <c r="D767" s="35"/>
      <c r="F767" s="35"/>
      <c r="H767" s="35"/>
    </row>
    <row r="768" ht="15.75" customHeight="1">
      <c r="B768" s="35"/>
      <c r="C768" s="35"/>
      <c r="D768" s="35"/>
      <c r="F768" s="35"/>
      <c r="H768" s="35"/>
    </row>
    <row r="769" ht="15.75" customHeight="1">
      <c r="B769" s="35"/>
      <c r="C769" s="35"/>
      <c r="D769" s="35"/>
      <c r="F769" s="35"/>
      <c r="H769" s="35"/>
    </row>
    <row r="770" ht="15.75" customHeight="1">
      <c r="B770" s="35"/>
      <c r="C770" s="35"/>
      <c r="D770" s="35"/>
      <c r="F770" s="35"/>
      <c r="H770" s="35"/>
    </row>
    <row r="771" ht="15.75" customHeight="1">
      <c r="B771" s="35"/>
      <c r="C771" s="35"/>
      <c r="D771" s="35"/>
      <c r="F771" s="35"/>
      <c r="H771" s="35"/>
    </row>
    <row r="772" ht="15.75" customHeight="1">
      <c r="B772" s="35"/>
      <c r="C772" s="35"/>
      <c r="D772" s="35"/>
      <c r="F772" s="35"/>
      <c r="H772" s="35"/>
    </row>
    <row r="773" ht="15.75" customHeight="1">
      <c r="B773" s="35"/>
      <c r="C773" s="35"/>
      <c r="D773" s="35"/>
      <c r="F773" s="35"/>
      <c r="H773" s="35"/>
    </row>
    <row r="774" ht="15.75" customHeight="1">
      <c r="B774" s="35"/>
      <c r="C774" s="35"/>
      <c r="D774" s="35"/>
      <c r="F774" s="35"/>
      <c r="H774" s="35"/>
    </row>
    <row r="775" ht="15.75" customHeight="1">
      <c r="B775" s="35"/>
      <c r="C775" s="35"/>
      <c r="D775" s="35"/>
      <c r="F775" s="35"/>
      <c r="H775" s="35"/>
    </row>
    <row r="776" ht="15.75" customHeight="1">
      <c r="B776" s="35"/>
      <c r="C776" s="35"/>
      <c r="D776" s="35"/>
      <c r="F776" s="35"/>
      <c r="H776" s="35"/>
    </row>
    <row r="777" ht="15.75" customHeight="1">
      <c r="B777" s="35"/>
      <c r="C777" s="35"/>
      <c r="D777" s="35"/>
      <c r="F777" s="35"/>
      <c r="H777" s="35"/>
    </row>
    <row r="778" ht="15.75" customHeight="1">
      <c r="B778" s="35"/>
      <c r="C778" s="35"/>
      <c r="D778" s="35"/>
      <c r="F778" s="35"/>
      <c r="H778" s="35"/>
    </row>
    <row r="779" ht="15.75" customHeight="1">
      <c r="B779" s="35"/>
      <c r="C779" s="35"/>
      <c r="D779" s="35"/>
      <c r="F779" s="35"/>
      <c r="H779" s="35"/>
    </row>
    <row r="780" ht="15.75" customHeight="1">
      <c r="B780" s="35"/>
      <c r="C780" s="35"/>
      <c r="D780" s="35"/>
      <c r="F780" s="35"/>
      <c r="H780" s="35"/>
    </row>
    <row r="781" ht="15.75" customHeight="1">
      <c r="B781" s="35"/>
      <c r="C781" s="35"/>
      <c r="D781" s="35"/>
      <c r="F781" s="35"/>
      <c r="H781" s="35"/>
    </row>
    <row r="782" ht="15.75" customHeight="1">
      <c r="B782" s="35"/>
      <c r="C782" s="35"/>
      <c r="D782" s="35"/>
      <c r="F782" s="35"/>
      <c r="H782" s="35"/>
    </row>
    <row r="783" ht="15.75" customHeight="1">
      <c r="B783" s="35"/>
      <c r="C783" s="35"/>
      <c r="D783" s="35"/>
      <c r="F783" s="35"/>
      <c r="H783" s="35"/>
    </row>
    <row r="784" ht="15.75" customHeight="1">
      <c r="B784" s="35"/>
      <c r="C784" s="35"/>
      <c r="D784" s="35"/>
      <c r="F784" s="35"/>
      <c r="H784" s="35"/>
    </row>
    <row r="785" ht="15.75" customHeight="1">
      <c r="B785" s="35"/>
      <c r="C785" s="35"/>
      <c r="D785" s="35"/>
      <c r="F785" s="35"/>
      <c r="H785" s="35"/>
    </row>
    <row r="786" ht="15.75" customHeight="1">
      <c r="B786" s="35"/>
      <c r="C786" s="35"/>
      <c r="D786" s="35"/>
      <c r="F786" s="35"/>
      <c r="H786" s="35"/>
    </row>
    <row r="787" ht="15.75" customHeight="1">
      <c r="B787" s="35"/>
      <c r="C787" s="35"/>
      <c r="D787" s="35"/>
      <c r="F787" s="35"/>
      <c r="H787" s="35"/>
    </row>
    <row r="788" ht="15.75" customHeight="1">
      <c r="B788" s="35"/>
      <c r="C788" s="35"/>
      <c r="D788" s="35"/>
      <c r="F788" s="35"/>
      <c r="H788" s="35"/>
    </row>
    <row r="789" ht="15.75" customHeight="1">
      <c r="B789" s="35"/>
      <c r="C789" s="35"/>
      <c r="D789" s="35"/>
      <c r="F789" s="35"/>
      <c r="H789" s="35"/>
    </row>
    <row r="790" ht="15.75" customHeight="1">
      <c r="B790" s="35"/>
      <c r="C790" s="35"/>
      <c r="D790" s="35"/>
      <c r="F790" s="35"/>
      <c r="H790" s="35"/>
    </row>
    <row r="791" ht="15.75" customHeight="1">
      <c r="B791" s="35"/>
      <c r="C791" s="35"/>
      <c r="D791" s="35"/>
      <c r="F791" s="35"/>
      <c r="H791" s="35"/>
    </row>
    <row r="792" ht="15.75" customHeight="1">
      <c r="B792" s="35"/>
      <c r="C792" s="35"/>
      <c r="D792" s="35"/>
      <c r="F792" s="35"/>
      <c r="H792" s="35"/>
    </row>
    <row r="793" ht="15.75" customHeight="1">
      <c r="B793" s="35"/>
      <c r="C793" s="35"/>
      <c r="D793" s="35"/>
      <c r="F793" s="35"/>
      <c r="H793" s="35"/>
    </row>
    <row r="794" ht="15.75" customHeight="1">
      <c r="B794" s="35"/>
      <c r="C794" s="35"/>
      <c r="D794" s="35"/>
      <c r="F794" s="35"/>
      <c r="H794" s="35"/>
    </row>
    <row r="795" ht="15.75" customHeight="1">
      <c r="B795" s="35"/>
      <c r="C795" s="35"/>
      <c r="D795" s="35"/>
      <c r="F795" s="35"/>
      <c r="H795" s="35"/>
    </row>
    <row r="796" ht="15.75" customHeight="1">
      <c r="B796" s="35"/>
      <c r="C796" s="35"/>
      <c r="D796" s="35"/>
      <c r="F796" s="35"/>
      <c r="H796" s="35"/>
    </row>
    <row r="797" ht="15.75" customHeight="1">
      <c r="B797" s="35"/>
      <c r="C797" s="35"/>
      <c r="D797" s="35"/>
      <c r="F797" s="35"/>
      <c r="H797" s="35"/>
    </row>
    <row r="798" ht="15.75" customHeight="1">
      <c r="B798" s="35"/>
      <c r="C798" s="35"/>
      <c r="D798" s="35"/>
      <c r="F798" s="35"/>
      <c r="H798" s="35"/>
    </row>
    <row r="799" ht="15.75" customHeight="1">
      <c r="B799" s="35"/>
      <c r="C799" s="35"/>
      <c r="D799" s="35"/>
      <c r="F799" s="35"/>
      <c r="H799" s="35"/>
    </row>
    <row r="800" ht="15.75" customHeight="1">
      <c r="B800" s="35"/>
      <c r="C800" s="35"/>
      <c r="D800" s="35"/>
      <c r="F800" s="35"/>
      <c r="H800" s="35"/>
    </row>
    <row r="801" ht="15.75" customHeight="1">
      <c r="B801" s="35"/>
      <c r="C801" s="35"/>
      <c r="D801" s="35"/>
      <c r="F801" s="35"/>
      <c r="H801" s="35"/>
    </row>
    <row r="802" ht="15.75" customHeight="1">
      <c r="B802" s="35"/>
      <c r="C802" s="35"/>
      <c r="D802" s="35"/>
      <c r="F802" s="35"/>
      <c r="H802" s="35"/>
    </row>
    <row r="803" ht="15.75" customHeight="1">
      <c r="B803" s="35"/>
      <c r="C803" s="35"/>
      <c r="D803" s="35"/>
      <c r="F803" s="35"/>
      <c r="H803" s="35"/>
    </row>
    <row r="804" ht="15.75" customHeight="1">
      <c r="B804" s="35"/>
      <c r="C804" s="35"/>
      <c r="D804" s="35"/>
      <c r="F804" s="35"/>
      <c r="H804" s="35"/>
    </row>
    <row r="805" ht="15.75" customHeight="1">
      <c r="B805" s="35"/>
      <c r="C805" s="35"/>
      <c r="D805" s="35"/>
      <c r="F805" s="35"/>
      <c r="H805" s="35"/>
    </row>
    <row r="806" ht="15.75" customHeight="1">
      <c r="B806" s="35"/>
      <c r="C806" s="35"/>
      <c r="D806" s="35"/>
      <c r="F806" s="35"/>
      <c r="H806" s="35"/>
    </row>
    <row r="807" ht="15.75" customHeight="1">
      <c r="B807" s="35"/>
      <c r="C807" s="35"/>
      <c r="D807" s="35"/>
      <c r="F807" s="35"/>
      <c r="H807" s="35"/>
    </row>
    <row r="808" ht="15.75" customHeight="1">
      <c r="B808" s="35"/>
      <c r="C808" s="35"/>
      <c r="D808" s="35"/>
      <c r="F808" s="35"/>
      <c r="H808" s="35"/>
    </row>
    <row r="809" ht="15.75" customHeight="1">
      <c r="B809" s="35"/>
      <c r="C809" s="35"/>
      <c r="D809" s="35"/>
      <c r="F809" s="35"/>
      <c r="H809" s="35"/>
    </row>
    <row r="810" ht="15.75" customHeight="1">
      <c r="B810" s="35"/>
      <c r="C810" s="35"/>
      <c r="D810" s="35"/>
      <c r="F810" s="35"/>
      <c r="H810" s="35"/>
    </row>
    <row r="811" ht="15.75" customHeight="1">
      <c r="B811" s="35"/>
      <c r="C811" s="35"/>
      <c r="D811" s="35"/>
      <c r="F811" s="35"/>
      <c r="H811" s="35"/>
    </row>
    <row r="812" ht="15.75" customHeight="1">
      <c r="B812" s="35"/>
      <c r="C812" s="35"/>
      <c r="D812" s="35"/>
      <c r="F812" s="35"/>
      <c r="H812" s="35"/>
    </row>
    <row r="813" ht="15.75" customHeight="1">
      <c r="B813" s="35"/>
      <c r="C813" s="35"/>
      <c r="D813" s="35"/>
      <c r="F813" s="35"/>
      <c r="H813" s="35"/>
    </row>
    <row r="814" ht="15.75" customHeight="1">
      <c r="B814" s="35"/>
      <c r="C814" s="35"/>
      <c r="D814" s="35"/>
      <c r="F814" s="35"/>
      <c r="H814" s="35"/>
    </row>
    <row r="815" ht="15.75" customHeight="1">
      <c r="B815" s="35"/>
      <c r="C815" s="35"/>
      <c r="D815" s="35"/>
      <c r="F815" s="35"/>
      <c r="H815" s="35"/>
    </row>
    <row r="816" ht="15.75" customHeight="1">
      <c r="B816" s="35"/>
      <c r="C816" s="35"/>
      <c r="D816" s="35"/>
      <c r="F816" s="35"/>
      <c r="H816" s="35"/>
    </row>
    <row r="817" ht="15.75" customHeight="1">
      <c r="B817" s="35"/>
      <c r="C817" s="35"/>
      <c r="D817" s="35"/>
      <c r="F817" s="35"/>
      <c r="H817" s="35"/>
    </row>
    <row r="818" ht="15.75" customHeight="1">
      <c r="B818" s="35"/>
      <c r="C818" s="35"/>
      <c r="D818" s="35"/>
      <c r="F818" s="35"/>
      <c r="H818" s="35"/>
    </row>
    <row r="819" ht="15.75" customHeight="1">
      <c r="B819" s="35"/>
      <c r="C819" s="35"/>
      <c r="D819" s="35"/>
      <c r="F819" s="35"/>
      <c r="H819" s="35"/>
    </row>
    <row r="820" ht="15.75" customHeight="1">
      <c r="B820" s="35"/>
      <c r="C820" s="35"/>
      <c r="D820" s="35"/>
      <c r="F820" s="35"/>
      <c r="H820" s="35"/>
    </row>
    <row r="821" ht="15.75" customHeight="1">
      <c r="B821" s="35"/>
      <c r="C821" s="35"/>
      <c r="D821" s="35"/>
      <c r="F821" s="35"/>
      <c r="H821" s="35"/>
    </row>
    <row r="822" ht="15.75" customHeight="1">
      <c r="B822" s="35"/>
      <c r="C822" s="35"/>
      <c r="D822" s="35"/>
      <c r="F822" s="35"/>
      <c r="H822" s="35"/>
    </row>
    <row r="823" ht="15.75" customHeight="1">
      <c r="B823" s="35"/>
      <c r="C823" s="35"/>
      <c r="D823" s="35"/>
      <c r="F823" s="35"/>
      <c r="H823" s="35"/>
    </row>
    <row r="824" ht="15.75" customHeight="1">
      <c r="B824" s="35"/>
      <c r="C824" s="35"/>
      <c r="D824" s="35"/>
      <c r="F824" s="35"/>
      <c r="H824" s="35"/>
    </row>
    <row r="825" ht="15.75" customHeight="1">
      <c r="B825" s="35"/>
      <c r="C825" s="35"/>
      <c r="D825" s="35"/>
      <c r="F825" s="35"/>
      <c r="H825" s="35"/>
    </row>
    <row r="826" ht="15.75" customHeight="1">
      <c r="B826" s="35"/>
      <c r="C826" s="35"/>
      <c r="D826" s="35"/>
      <c r="F826" s="35"/>
      <c r="H826" s="35"/>
    </row>
    <row r="827" ht="15.75" customHeight="1">
      <c r="B827" s="35"/>
      <c r="C827" s="35"/>
      <c r="D827" s="35"/>
      <c r="F827" s="35"/>
      <c r="H827" s="35"/>
    </row>
    <row r="828" ht="15.75" customHeight="1">
      <c r="B828" s="35"/>
      <c r="C828" s="35"/>
      <c r="D828" s="35"/>
      <c r="F828" s="35"/>
      <c r="H828" s="35"/>
    </row>
    <row r="829" ht="15.75" customHeight="1">
      <c r="B829" s="35"/>
      <c r="C829" s="35"/>
      <c r="D829" s="35"/>
      <c r="F829" s="35"/>
      <c r="H829" s="35"/>
    </row>
    <row r="830" ht="15.75" customHeight="1">
      <c r="B830" s="35"/>
      <c r="C830" s="35"/>
      <c r="D830" s="35"/>
      <c r="F830" s="35"/>
      <c r="H830" s="35"/>
    </row>
    <row r="831" ht="15.75" customHeight="1">
      <c r="B831" s="35"/>
      <c r="C831" s="35"/>
      <c r="D831" s="35"/>
      <c r="F831" s="35"/>
      <c r="H831" s="35"/>
    </row>
    <row r="832" ht="15.75" customHeight="1">
      <c r="B832" s="35"/>
      <c r="C832" s="35"/>
      <c r="D832" s="35"/>
      <c r="F832" s="35"/>
      <c r="H832" s="35"/>
    </row>
    <row r="833" ht="15.75" customHeight="1">
      <c r="B833" s="35"/>
      <c r="C833" s="35"/>
      <c r="D833" s="35"/>
      <c r="F833" s="35"/>
      <c r="H833" s="35"/>
    </row>
    <row r="834" ht="15.75" customHeight="1">
      <c r="B834" s="35"/>
      <c r="C834" s="35"/>
      <c r="D834" s="35"/>
      <c r="F834" s="35"/>
      <c r="H834" s="35"/>
    </row>
    <row r="835" ht="15.75" customHeight="1">
      <c r="B835" s="35"/>
      <c r="C835" s="35"/>
      <c r="D835" s="35"/>
      <c r="F835" s="35"/>
      <c r="H835" s="35"/>
    </row>
    <row r="836" ht="15.75" customHeight="1">
      <c r="B836" s="35"/>
      <c r="C836" s="35"/>
      <c r="D836" s="35"/>
      <c r="F836" s="35"/>
      <c r="H836" s="35"/>
    </row>
    <row r="837" ht="15.75" customHeight="1">
      <c r="B837" s="35"/>
      <c r="C837" s="35"/>
      <c r="D837" s="35"/>
      <c r="F837" s="35"/>
      <c r="H837" s="35"/>
    </row>
    <row r="838" ht="15.75" customHeight="1">
      <c r="B838" s="35"/>
      <c r="C838" s="35"/>
      <c r="D838" s="35"/>
      <c r="F838" s="35"/>
      <c r="H838" s="35"/>
    </row>
    <row r="839" ht="15.75" customHeight="1">
      <c r="B839" s="35"/>
      <c r="C839" s="35"/>
      <c r="D839" s="35"/>
      <c r="F839" s="35"/>
      <c r="H839" s="35"/>
    </row>
    <row r="840" ht="15.75" customHeight="1">
      <c r="B840" s="35"/>
      <c r="C840" s="35"/>
      <c r="D840" s="35"/>
      <c r="F840" s="35"/>
      <c r="H840" s="35"/>
    </row>
    <row r="841" ht="15.75" customHeight="1">
      <c r="B841" s="35"/>
      <c r="C841" s="35"/>
      <c r="D841" s="35"/>
      <c r="F841" s="35"/>
      <c r="H841" s="35"/>
    </row>
    <row r="842" ht="15.75" customHeight="1">
      <c r="B842" s="35"/>
      <c r="C842" s="35"/>
      <c r="D842" s="35"/>
      <c r="F842" s="35"/>
      <c r="H842" s="35"/>
    </row>
    <row r="843" ht="15.75" customHeight="1">
      <c r="B843" s="35"/>
      <c r="C843" s="35"/>
      <c r="D843" s="35"/>
      <c r="F843" s="35"/>
      <c r="H843" s="35"/>
    </row>
    <row r="844" ht="15.75" customHeight="1">
      <c r="B844" s="35"/>
      <c r="C844" s="35"/>
      <c r="D844" s="35"/>
      <c r="F844" s="35"/>
      <c r="H844" s="35"/>
    </row>
    <row r="845" ht="15.75" customHeight="1">
      <c r="B845" s="35"/>
      <c r="C845" s="35"/>
      <c r="D845" s="35"/>
      <c r="F845" s="35"/>
      <c r="H845" s="35"/>
    </row>
    <row r="846" ht="15.75" customHeight="1">
      <c r="B846" s="35"/>
      <c r="C846" s="35"/>
      <c r="D846" s="35"/>
      <c r="F846" s="35"/>
      <c r="H846" s="35"/>
    </row>
    <row r="847" ht="15.75" customHeight="1">
      <c r="B847" s="35"/>
      <c r="C847" s="35"/>
      <c r="D847" s="35"/>
      <c r="F847" s="35"/>
      <c r="H847" s="35"/>
    </row>
    <row r="848" ht="15.75" customHeight="1">
      <c r="B848" s="35"/>
      <c r="C848" s="35"/>
      <c r="D848" s="35"/>
      <c r="F848" s="35"/>
      <c r="H848" s="35"/>
    </row>
    <row r="849" ht="15.75" customHeight="1">
      <c r="B849" s="35"/>
      <c r="C849" s="35"/>
      <c r="D849" s="35"/>
      <c r="F849" s="35"/>
      <c r="H849" s="35"/>
    </row>
    <row r="850" ht="15.75" customHeight="1">
      <c r="B850" s="35"/>
      <c r="C850" s="35"/>
      <c r="D850" s="35"/>
      <c r="F850" s="35"/>
      <c r="H850" s="35"/>
    </row>
    <row r="851" ht="15.75" customHeight="1">
      <c r="B851" s="35"/>
      <c r="C851" s="35"/>
      <c r="D851" s="35"/>
      <c r="F851" s="35"/>
      <c r="H851" s="35"/>
    </row>
    <row r="852" ht="15.75" customHeight="1">
      <c r="B852" s="35"/>
      <c r="C852" s="35"/>
      <c r="D852" s="35"/>
      <c r="F852" s="35"/>
      <c r="H852" s="35"/>
    </row>
    <row r="853" ht="15.75" customHeight="1">
      <c r="B853" s="35"/>
      <c r="C853" s="35"/>
      <c r="D853" s="35"/>
      <c r="F853" s="35"/>
      <c r="H853" s="35"/>
    </row>
    <row r="854" ht="15.75" customHeight="1">
      <c r="B854" s="35"/>
      <c r="C854" s="35"/>
      <c r="D854" s="35"/>
      <c r="F854" s="35"/>
      <c r="H854" s="35"/>
    </row>
    <row r="855" ht="15.75" customHeight="1">
      <c r="B855" s="35"/>
      <c r="C855" s="35"/>
      <c r="D855" s="35"/>
      <c r="F855" s="35"/>
      <c r="H855" s="35"/>
    </row>
    <row r="856" ht="15.75" customHeight="1">
      <c r="B856" s="35"/>
      <c r="C856" s="35"/>
      <c r="D856" s="35"/>
      <c r="F856" s="35"/>
      <c r="H856" s="35"/>
    </row>
    <row r="857" ht="15.75" customHeight="1">
      <c r="B857" s="35"/>
      <c r="C857" s="35"/>
      <c r="D857" s="35"/>
      <c r="F857" s="35"/>
      <c r="H857" s="35"/>
    </row>
    <row r="858" ht="15.75" customHeight="1">
      <c r="B858" s="35"/>
      <c r="C858" s="35"/>
      <c r="D858" s="35"/>
      <c r="F858" s="35"/>
      <c r="H858" s="35"/>
    </row>
    <row r="859" ht="15.75" customHeight="1">
      <c r="B859" s="35"/>
      <c r="C859" s="35"/>
      <c r="D859" s="35"/>
      <c r="F859" s="35"/>
      <c r="H859" s="35"/>
    </row>
    <row r="860" ht="15.75" customHeight="1">
      <c r="B860" s="35"/>
      <c r="C860" s="35"/>
      <c r="D860" s="35"/>
      <c r="F860" s="35"/>
      <c r="H860" s="35"/>
    </row>
    <row r="861" ht="15.75" customHeight="1">
      <c r="B861" s="35"/>
      <c r="C861" s="35"/>
      <c r="D861" s="35"/>
      <c r="F861" s="35"/>
      <c r="H861" s="35"/>
    </row>
    <row r="862" ht="15.75" customHeight="1">
      <c r="B862" s="35"/>
      <c r="C862" s="35"/>
      <c r="D862" s="35"/>
      <c r="F862" s="35"/>
      <c r="H862" s="35"/>
    </row>
    <row r="863" ht="15.75" customHeight="1">
      <c r="B863" s="35"/>
      <c r="C863" s="35"/>
      <c r="D863" s="35"/>
      <c r="F863" s="35"/>
      <c r="H863" s="35"/>
    </row>
    <row r="864" ht="15.75" customHeight="1">
      <c r="B864" s="35"/>
      <c r="C864" s="35"/>
      <c r="D864" s="35"/>
      <c r="F864" s="35"/>
      <c r="H864" s="35"/>
    </row>
    <row r="865" ht="15.75" customHeight="1">
      <c r="B865" s="35"/>
      <c r="C865" s="35"/>
      <c r="D865" s="35"/>
      <c r="F865" s="35"/>
      <c r="H865" s="35"/>
    </row>
    <row r="866" ht="15.75" customHeight="1">
      <c r="B866" s="35"/>
      <c r="C866" s="35"/>
      <c r="D866" s="35"/>
      <c r="F866" s="35"/>
      <c r="H866" s="35"/>
    </row>
    <row r="867" ht="15.75" customHeight="1">
      <c r="B867" s="35"/>
      <c r="C867" s="35"/>
      <c r="D867" s="35"/>
      <c r="F867" s="35"/>
      <c r="H867" s="35"/>
    </row>
    <row r="868" ht="15.75" customHeight="1">
      <c r="B868" s="35"/>
      <c r="C868" s="35"/>
      <c r="D868" s="35"/>
      <c r="F868" s="35"/>
      <c r="H868" s="35"/>
    </row>
    <row r="869" ht="15.75" customHeight="1">
      <c r="B869" s="35"/>
      <c r="C869" s="35"/>
      <c r="D869" s="35"/>
      <c r="F869" s="35"/>
      <c r="H869" s="35"/>
    </row>
    <row r="870" ht="15.75" customHeight="1">
      <c r="B870" s="35"/>
      <c r="C870" s="35"/>
      <c r="D870" s="35"/>
      <c r="F870" s="35"/>
      <c r="H870" s="35"/>
    </row>
    <row r="871" ht="15.75" customHeight="1">
      <c r="B871" s="35"/>
      <c r="C871" s="35"/>
      <c r="D871" s="35"/>
      <c r="F871" s="35"/>
      <c r="H871" s="35"/>
    </row>
    <row r="872" ht="15.75" customHeight="1">
      <c r="B872" s="35"/>
      <c r="C872" s="35"/>
      <c r="D872" s="35"/>
      <c r="F872" s="35"/>
      <c r="H872" s="35"/>
    </row>
    <row r="873" ht="15.75" customHeight="1">
      <c r="B873" s="35"/>
      <c r="C873" s="35"/>
      <c r="D873" s="35"/>
      <c r="F873" s="35"/>
      <c r="H873" s="35"/>
    </row>
    <row r="874" ht="15.75" customHeight="1">
      <c r="B874" s="35"/>
      <c r="C874" s="35"/>
      <c r="D874" s="35"/>
      <c r="F874" s="35"/>
      <c r="H874" s="35"/>
    </row>
    <row r="875" ht="15.75" customHeight="1">
      <c r="B875" s="35"/>
      <c r="C875" s="35"/>
      <c r="D875" s="35"/>
      <c r="F875" s="35"/>
      <c r="H875" s="35"/>
    </row>
    <row r="876" ht="15.75" customHeight="1">
      <c r="B876" s="35"/>
      <c r="C876" s="35"/>
      <c r="D876" s="35"/>
      <c r="F876" s="35"/>
      <c r="H876" s="35"/>
    </row>
    <row r="877" ht="15.75" customHeight="1">
      <c r="B877" s="35"/>
      <c r="C877" s="35"/>
      <c r="D877" s="35"/>
      <c r="F877" s="35"/>
      <c r="H877" s="35"/>
    </row>
    <row r="878" ht="15.75" customHeight="1">
      <c r="B878" s="35"/>
      <c r="C878" s="35"/>
      <c r="D878" s="35"/>
      <c r="F878" s="35"/>
      <c r="H878" s="35"/>
    </row>
    <row r="879" ht="15.75" customHeight="1">
      <c r="B879" s="35"/>
      <c r="C879" s="35"/>
      <c r="D879" s="35"/>
      <c r="F879" s="35"/>
      <c r="H879" s="35"/>
    </row>
    <row r="880" ht="15.75" customHeight="1">
      <c r="B880" s="35"/>
      <c r="C880" s="35"/>
      <c r="D880" s="35"/>
      <c r="F880" s="35"/>
      <c r="H880" s="35"/>
    </row>
    <row r="881" ht="15.75" customHeight="1">
      <c r="B881" s="35"/>
      <c r="C881" s="35"/>
      <c r="D881" s="35"/>
      <c r="F881" s="35"/>
      <c r="H881" s="35"/>
    </row>
    <row r="882" ht="15.75" customHeight="1">
      <c r="B882" s="35"/>
      <c r="C882" s="35"/>
      <c r="D882" s="35"/>
      <c r="F882" s="35"/>
      <c r="H882" s="35"/>
    </row>
    <row r="883" ht="15.75" customHeight="1">
      <c r="B883" s="35"/>
      <c r="C883" s="35"/>
      <c r="D883" s="35"/>
      <c r="F883" s="35"/>
      <c r="H883" s="35"/>
    </row>
    <row r="884" ht="15.75" customHeight="1">
      <c r="B884" s="35"/>
      <c r="C884" s="35"/>
      <c r="D884" s="35"/>
      <c r="F884" s="35"/>
      <c r="H884" s="35"/>
    </row>
    <row r="885" ht="15.75" customHeight="1">
      <c r="B885" s="35"/>
      <c r="C885" s="35"/>
      <c r="D885" s="35"/>
      <c r="F885" s="35"/>
      <c r="H885" s="35"/>
    </row>
    <row r="886" ht="15.75" customHeight="1">
      <c r="B886" s="35"/>
      <c r="C886" s="35"/>
      <c r="D886" s="35"/>
      <c r="F886" s="35"/>
      <c r="H886" s="35"/>
    </row>
    <row r="887" ht="15.75" customHeight="1">
      <c r="B887" s="35"/>
      <c r="C887" s="35"/>
      <c r="D887" s="35"/>
      <c r="F887" s="35"/>
      <c r="H887" s="35"/>
    </row>
    <row r="888" ht="15.75" customHeight="1">
      <c r="B888" s="35"/>
      <c r="C888" s="35"/>
      <c r="D888" s="35"/>
      <c r="F888" s="35"/>
      <c r="H888" s="35"/>
    </row>
    <row r="889" ht="15.75" customHeight="1">
      <c r="B889" s="35"/>
      <c r="C889" s="35"/>
      <c r="D889" s="35"/>
      <c r="F889" s="35"/>
      <c r="H889" s="35"/>
    </row>
    <row r="890" ht="15.75" customHeight="1">
      <c r="B890" s="35"/>
      <c r="C890" s="35"/>
      <c r="D890" s="35"/>
      <c r="F890" s="35"/>
      <c r="H890" s="35"/>
    </row>
    <row r="891" ht="15.75" customHeight="1">
      <c r="B891" s="35"/>
      <c r="C891" s="35"/>
      <c r="D891" s="35"/>
      <c r="F891" s="35"/>
      <c r="H891" s="35"/>
    </row>
    <row r="892" ht="15.75" customHeight="1">
      <c r="B892" s="35"/>
      <c r="C892" s="35"/>
      <c r="D892" s="35"/>
      <c r="F892" s="35"/>
      <c r="H892" s="35"/>
    </row>
    <row r="893" ht="15.75" customHeight="1">
      <c r="B893" s="35"/>
      <c r="C893" s="35"/>
      <c r="D893" s="35"/>
      <c r="F893" s="35"/>
      <c r="H893" s="35"/>
    </row>
    <row r="894" ht="15.75" customHeight="1">
      <c r="B894" s="35"/>
      <c r="C894" s="35"/>
      <c r="D894" s="35"/>
      <c r="F894" s="35"/>
      <c r="H894" s="35"/>
    </row>
    <row r="895" ht="15.75" customHeight="1">
      <c r="B895" s="35"/>
      <c r="C895" s="35"/>
      <c r="D895" s="35"/>
      <c r="F895" s="35"/>
      <c r="H895" s="35"/>
    </row>
    <row r="896" ht="15.75" customHeight="1">
      <c r="B896" s="35"/>
      <c r="C896" s="35"/>
      <c r="D896" s="35"/>
      <c r="F896" s="35"/>
      <c r="H896" s="35"/>
    </row>
    <row r="897" ht="15.75" customHeight="1">
      <c r="B897" s="35"/>
      <c r="C897" s="35"/>
      <c r="D897" s="35"/>
      <c r="F897" s="35"/>
      <c r="H897" s="35"/>
    </row>
    <row r="898" ht="15.75" customHeight="1">
      <c r="B898" s="35"/>
      <c r="C898" s="35"/>
      <c r="D898" s="35"/>
      <c r="F898" s="35"/>
      <c r="H898" s="35"/>
    </row>
    <row r="899" ht="15.75" customHeight="1">
      <c r="B899" s="35"/>
      <c r="C899" s="35"/>
      <c r="D899" s="35"/>
      <c r="F899" s="35"/>
      <c r="H899" s="35"/>
    </row>
    <row r="900" ht="15.75" customHeight="1">
      <c r="B900" s="35"/>
      <c r="C900" s="35"/>
      <c r="D900" s="35"/>
      <c r="F900" s="35"/>
      <c r="H900" s="35"/>
    </row>
    <row r="901" ht="15.75" customHeight="1">
      <c r="B901" s="35"/>
      <c r="C901" s="35"/>
      <c r="D901" s="35"/>
      <c r="F901" s="35"/>
      <c r="H901" s="35"/>
    </row>
    <row r="902" ht="15.75" customHeight="1">
      <c r="B902" s="35"/>
      <c r="C902" s="35"/>
      <c r="D902" s="35"/>
      <c r="F902" s="35"/>
      <c r="H902" s="35"/>
    </row>
    <row r="903" ht="15.75" customHeight="1">
      <c r="B903" s="35"/>
      <c r="C903" s="35"/>
      <c r="D903" s="35"/>
      <c r="F903" s="35"/>
      <c r="H903" s="35"/>
    </row>
    <row r="904" ht="15.75" customHeight="1">
      <c r="B904" s="35"/>
      <c r="C904" s="35"/>
      <c r="D904" s="35"/>
      <c r="F904" s="35"/>
      <c r="H904" s="35"/>
    </row>
    <row r="905" ht="15.75" customHeight="1">
      <c r="B905" s="35"/>
      <c r="C905" s="35"/>
      <c r="D905" s="35"/>
      <c r="F905" s="35"/>
      <c r="H905" s="35"/>
    </row>
    <row r="906" ht="15.75" customHeight="1">
      <c r="B906" s="35"/>
      <c r="C906" s="35"/>
      <c r="D906" s="35"/>
      <c r="F906" s="35"/>
      <c r="H906" s="35"/>
    </row>
    <row r="907" ht="15.75" customHeight="1">
      <c r="B907" s="35"/>
      <c r="C907" s="35"/>
      <c r="D907" s="35"/>
      <c r="F907" s="35"/>
      <c r="H907" s="35"/>
    </row>
    <row r="908" ht="15.75" customHeight="1">
      <c r="B908" s="35"/>
      <c r="C908" s="35"/>
      <c r="D908" s="35"/>
      <c r="F908" s="35"/>
      <c r="H908" s="35"/>
    </row>
    <row r="909" ht="15.75" customHeight="1">
      <c r="B909" s="35"/>
      <c r="C909" s="35"/>
      <c r="D909" s="35"/>
      <c r="F909" s="35"/>
      <c r="H909" s="35"/>
    </row>
    <row r="910" ht="15.75" customHeight="1">
      <c r="B910" s="35"/>
      <c r="C910" s="35"/>
      <c r="D910" s="35"/>
      <c r="F910" s="35"/>
      <c r="H910" s="35"/>
    </row>
    <row r="911" ht="15.75" customHeight="1">
      <c r="B911" s="35"/>
      <c r="C911" s="35"/>
      <c r="D911" s="35"/>
      <c r="F911" s="35"/>
      <c r="H911" s="35"/>
    </row>
    <row r="912" ht="15.75" customHeight="1">
      <c r="B912" s="35"/>
      <c r="C912" s="35"/>
      <c r="D912" s="35"/>
      <c r="F912" s="35"/>
      <c r="H912" s="35"/>
    </row>
    <row r="913" ht="15.75" customHeight="1">
      <c r="B913" s="35"/>
      <c r="C913" s="35"/>
      <c r="D913" s="35"/>
      <c r="F913" s="35"/>
      <c r="H913" s="35"/>
    </row>
    <row r="914" ht="15.75" customHeight="1">
      <c r="B914" s="35"/>
      <c r="C914" s="35"/>
      <c r="D914" s="35"/>
      <c r="F914" s="35"/>
      <c r="H914" s="35"/>
    </row>
    <row r="915" ht="15.75" customHeight="1">
      <c r="B915" s="35"/>
      <c r="C915" s="35"/>
      <c r="D915" s="35"/>
      <c r="F915" s="35"/>
      <c r="H915" s="35"/>
    </row>
    <row r="916" ht="15.75" customHeight="1">
      <c r="B916" s="35"/>
      <c r="C916" s="35"/>
      <c r="D916" s="35"/>
      <c r="F916" s="35"/>
      <c r="H916" s="35"/>
    </row>
    <row r="917" ht="15.75" customHeight="1">
      <c r="B917" s="35"/>
      <c r="C917" s="35"/>
      <c r="D917" s="35"/>
      <c r="F917" s="35"/>
      <c r="H917" s="35"/>
    </row>
    <row r="918" ht="15.75" customHeight="1">
      <c r="B918" s="35"/>
      <c r="C918" s="35"/>
      <c r="D918" s="35"/>
      <c r="F918" s="35"/>
      <c r="H918" s="35"/>
    </row>
    <row r="919" ht="15.75" customHeight="1">
      <c r="B919" s="35"/>
      <c r="C919" s="35"/>
      <c r="D919" s="35"/>
      <c r="F919" s="35"/>
      <c r="H919" s="35"/>
    </row>
    <row r="920" ht="15.75" customHeight="1">
      <c r="B920" s="35"/>
      <c r="C920" s="35"/>
      <c r="D920" s="35"/>
      <c r="F920" s="35"/>
      <c r="H920" s="35"/>
    </row>
    <row r="921" ht="15.75" customHeight="1">
      <c r="B921" s="35"/>
      <c r="C921" s="35"/>
      <c r="D921" s="35"/>
      <c r="F921" s="35"/>
      <c r="H921" s="35"/>
    </row>
    <row r="922" ht="15.75" customHeight="1">
      <c r="B922" s="35"/>
      <c r="C922" s="35"/>
      <c r="D922" s="35"/>
      <c r="F922" s="35"/>
      <c r="H922" s="35"/>
    </row>
    <row r="923" ht="15.75" customHeight="1">
      <c r="B923" s="35"/>
      <c r="C923" s="35"/>
      <c r="D923" s="35"/>
      <c r="F923" s="35"/>
      <c r="H923" s="35"/>
    </row>
    <row r="924" ht="15.75" customHeight="1">
      <c r="B924" s="35"/>
      <c r="C924" s="35"/>
      <c r="D924" s="35"/>
      <c r="F924" s="35"/>
      <c r="H924" s="35"/>
    </row>
    <row r="925" ht="15.75" customHeight="1">
      <c r="B925" s="35"/>
      <c r="C925" s="35"/>
      <c r="D925" s="35"/>
      <c r="F925" s="35"/>
      <c r="H925" s="35"/>
    </row>
    <row r="926" ht="15.75" customHeight="1">
      <c r="B926" s="35"/>
      <c r="C926" s="35"/>
      <c r="D926" s="35"/>
      <c r="F926" s="35"/>
      <c r="H926" s="35"/>
    </row>
    <row r="927" ht="15.75" customHeight="1">
      <c r="B927" s="35"/>
      <c r="C927" s="35"/>
      <c r="D927" s="35"/>
      <c r="F927" s="35"/>
      <c r="H927" s="35"/>
    </row>
    <row r="928" ht="15.75" customHeight="1">
      <c r="B928" s="35"/>
      <c r="C928" s="35"/>
      <c r="D928" s="35"/>
      <c r="F928" s="35"/>
      <c r="H928" s="35"/>
    </row>
    <row r="929" ht="15.75" customHeight="1">
      <c r="B929" s="35"/>
      <c r="C929" s="35"/>
      <c r="D929" s="35"/>
      <c r="F929" s="35"/>
      <c r="H929" s="35"/>
    </row>
    <row r="930" ht="15.75" customHeight="1">
      <c r="B930" s="35"/>
      <c r="C930" s="35"/>
      <c r="D930" s="35"/>
      <c r="F930" s="35"/>
      <c r="H930" s="35"/>
    </row>
    <row r="931" ht="15.75" customHeight="1">
      <c r="B931" s="35"/>
      <c r="C931" s="35"/>
      <c r="D931" s="35"/>
      <c r="F931" s="35"/>
      <c r="H931" s="35"/>
    </row>
    <row r="932" ht="15.75" customHeight="1">
      <c r="B932" s="35"/>
      <c r="C932" s="35"/>
      <c r="D932" s="35"/>
      <c r="F932" s="35"/>
      <c r="H932" s="35"/>
    </row>
    <row r="933" ht="15.75" customHeight="1">
      <c r="B933" s="35"/>
      <c r="C933" s="35"/>
      <c r="D933" s="35"/>
      <c r="F933" s="35"/>
      <c r="H933" s="35"/>
    </row>
    <row r="934" ht="15.75" customHeight="1">
      <c r="B934" s="35"/>
      <c r="C934" s="35"/>
      <c r="D934" s="35"/>
      <c r="F934" s="35"/>
      <c r="H934" s="35"/>
    </row>
    <row r="935" ht="15.75" customHeight="1">
      <c r="B935" s="35"/>
      <c r="C935" s="35"/>
      <c r="D935" s="35"/>
      <c r="F935" s="35"/>
      <c r="H935" s="35"/>
    </row>
    <row r="936" ht="15.75" customHeight="1">
      <c r="B936" s="35"/>
      <c r="C936" s="35"/>
      <c r="D936" s="35"/>
      <c r="F936" s="35"/>
      <c r="H936" s="35"/>
    </row>
    <row r="937" ht="15.75" customHeight="1">
      <c r="B937" s="35"/>
      <c r="C937" s="35"/>
      <c r="D937" s="35"/>
      <c r="F937" s="35"/>
      <c r="H937" s="35"/>
    </row>
    <row r="938" ht="15.75" customHeight="1">
      <c r="B938" s="35"/>
      <c r="C938" s="35"/>
      <c r="D938" s="35"/>
      <c r="F938" s="35"/>
      <c r="H938" s="35"/>
    </row>
    <row r="939" ht="15.75" customHeight="1">
      <c r="B939" s="35"/>
      <c r="C939" s="35"/>
      <c r="D939" s="35"/>
      <c r="F939" s="35"/>
      <c r="H939" s="35"/>
    </row>
    <row r="940" ht="15.75" customHeight="1">
      <c r="B940" s="35"/>
      <c r="C940" s="35"/>
      <c r="D940" s="35"/>
      <c r="F940" s="35"/>
      <c r="H940" s="35"/>
    </row>
    <row r="941" ht="15.75" customHeight="1">
      <c r="B941" s="35"/>
      <c r="C941" s="35"/>
      <c r="D941" s="35"/>
      <c r="F941" s="35"/>
      <c r="H941" s="35"/>
    </row>
    <row r="942" ht="15.75" customHeight="1">
      <c r="B942" s="35"/>
      <c r="C942" s="35"/>
      <c r="D942" s="35"/>
      <c r="F942" s="35"/>
      <c r="H942" s="35"/>
    </row>
    <row r="943" ht="15.75" customHeight="1">
      <c r="B943" s="35"/>
      <c r="C943" s="35"/>
      <c r="D943" s="35"/>
      <c r="F943" s="35"/>
      <c r="H943" s="35"/>
    </row>
    <row r="944" ht="15.75" customHeight="1">
      <c r="B944" s="35"/>
      <c r="C944" s="35"/>
      <c r="D944" s="35"/>
      <c r="F944" s="35"/>
      <c r="H944" s="35"/>
    </row>
    <row r="945" ht="15.75" customHeight="1">
      <c r="B945" s="35"/>
      <c r="C945" s="35"/>
      <c r="D945" s="35"/>
      <c r="F945" s="35"/>
      <c r="H945" s="35"/>
    </row>
    <row r="946" ht="15.75" customHeight="1">
      <c r="B946" s="35"/>
      <c r="C946" s="35"/>
      <c r="D946" s="35"/>
      <c r="F946" s="35"/>
      <c r="H946" s="35"/>
    </row>
    <row r="947" ht="15.75" customHeight="1">
      <c r="B947" s="35"/>
      <c r="C947" s="35"/>
      <c r="D947" s="35"/>
      <c r="F947" s="35"/>
      <c r="H947" s="35"/>
    </row>
    <row r="948" ht="15.75" customHeight="1">
      <c r="B948" s="35"/>
      <c r="C948" s="35"/>
      <c r="D948" s="35"/>
      <c r="F948" s="35"/>
      <c r="H948" s="35"/>
    </row>
    <row r="949" ht="15.75" customHeight="1">
      <c r="B949" s="35"/>
      <c r="C949" s="35"/>
      <c r="D949" s="35"/>
      <c r="F949" s="35"/>
      <c r="H949" s="35"/>
    </row>
    <row r="950" ht="15.75" customHeight="1">
      <c r="B950" s="35"/>
      <c r="C950" s="35"/>
      <c r="D950" s="35"/>
      <c r="F950" s="35"/>
      <c r="H950" s="35"/>
    </row>
    <row r="951" ht="15.75" customHeight="1">
      <c r="B951" s="35"/>
      <c r="C951" s="35"/>
      <c r="D951" s="35"/>
      <c r="F951" s="35"/>
      <c r="H951" s="35"/>
    </row>
    <row r="952" ht="15.75" customHeight="1">
      <c r="B952" s="35"/>
      <c r="C952" s="35"/>
      <c r="D952" s="35"/>
      <c r="F952" s="35"/>
      <c r="H952" s="35"/>
    </row>
    <row r="953" ht="15.75" customHeight="1">
      <c r="B953" s="35"/>
      <c r="C953" s="35"/>
      <c r="D953" s="35"/>
      <c r="F953" s="35"/>
      <c r="H953" s="35"/>
    </row>
    <row r="954" ht="15.75" customHeight="1">
      <c r="B954" s="35"/>
      <c r="C954" s="35"/>
      <c r="D954" s="35"/>
      <c r="F954" s="35"/>
      <c r="H954" s="35"/>
    </row>
    <row r="955" ht="15.75" customHeight="1">
      <c r="B955" s="35"/>
      <c r="C955" s="35"/>
      <c r="D955" s="35"/>
      <c r="F955" s="35"/>
      <c r="H955" s="35"/>
    </row>
    <row r="956" ht="15.75" customHeight="1">
      <c r="B956" s="35"/>
      <c r="C956" s="35"/>
      <c r="D956" s="35"/>
      <c r="F956" s="35"/>
      <c r="H956" s="35"/>
    </row>
    <row r="957" ht="15.75" customHeight="1">
      <c r="B957" s="35"/>
      <c r="C957" s="35"/>
      <c r="D957" s="35"/>
      <c r="F957" s="35"/>
      <c r="H957" s="35"/>
    </row>
    <row r="958" ht="15.75" customHeight="1">
      <c r="B958" s="35"/>
      <c r="C958" s="35"/>
      <c r="D958" s="35"/>
      <c r="F958" s="35"/>
      <c r="H958" s="35"/>
    </row>
    <row r="959" ht="15.75" customHeight="1">
      <c r="B959" s="35"/>
      <c r="C959" s="35"/>
      <c r="D959" s="35"/>
      <c r="F959" s="35"/>
      <c r="H959" s="35"/>
    </row>
    <row r="960" ht="15.75" customHeight="1">
      <c r="B960" s="35"/>
      <c r="C960" s="35"/>
      <c r="D960" s="35"/>
      <c r="F960" s="35"/>
      <c r="H960" s="35"/>
    </row>
    <row r="961" ht="15.75" customHeight="1">
      <c r="B961" s="35"/>
      <c r="C961" s="35"/>
      <c r="D961" s="35"/>
      <c r="F961" s="35"/>
      <c r="H961" s="35"/>
    </row>
    <row r="962" ht="15.75" customHeight="1">
      <c r="B962" s="35"/>
      <c r="C962" s="35"/>
      <c r="D962" s="35"/>
      <c r="F962" s="35"/>
      <c r="H962" s="35"/>
    </row>
    <row r="963" ht="15.75" customHeight="1">
      <c r="B963" s="35"/>
      <c r="C963" s="35"/>
      <c r="D963" s="35"/>
      <c r="F963" s="35"/>
      <c r="H963" s="35"/>
    </row>
    <row r="964" ht="15.75" customHeight="1">
      <c r="B964" s="35"/>
      <c r="C964" s="35"/>
      <c r="D964" s="35"/>
      <c r="F964" s="35"/>
      <c r="H964" s="35"/>
    </row>
    <row r="965" ht="15.75" customHeight="1">
      <c r="B965" s="35"/>
      <c r="C965" s="35"/>
      <c r="D965" s="35"/>
      <c r="F965" s="35"/>
      <c r="H965" s="35"/>
    </row>
    <row r="966" ht="15.75" customHeight="1">
      <c r="B966" s="35"/>
      <c r="C966" s="35"/>
      <c r="D966" s="35"/>
      <c r="F966" s="35"/>
      <c r="H966" s="35"/>
    </row>
    <row r="967" ht="15.75" customHeight="1">
      <c r="B967" s="35"/>
      <c r="C967" s="35"/>
      <c r="D967" s="35"/>
      <c r="F967" s="35"/>
      <c r="H967" s="35"/>
    </row>
    <row r="968" ht="15.75" customHeight="1">
      <c r="B968" s="35"/>
      <c r="C968" s="35"/>
      <c r="D968" s="35"/>
      <c r="F968" s="35"/>
      <c r="H968" s="35"/>
    </row>
    <row r="969" ht="15.75" customHeight="1">
      <c r="B969" s="35"/>
      <c r="C969" s="35"/>
      <c r="D969" s="35"/>
      <c r="F969" s="35"/>
      <c r="H969" s="35"/>
    </row>
    <row r="970" ht="15.75" customHeight="1">
      <c r="B970" s="35"/>
      <c r="C970" s="35"/>
      <c r="D970" s="35"/>
      <c r="F970" s="35"/>
      <c r="H970" s="35"/>
    </row>
    <row r="971" ht="15.75" customHeight="1">
      <c r="B971" s="35"/>
      <c r="C971" s="35"/>
      <c r="D971" s="35"/>
      <c r="F971" s="35"/>
      <c r="H971" s="35"/>
    </row>
    <row r="972" ht="15.75" customHeight="1">
      <c r="B972" s="35"/>
      <c r="C972" s="35"/>
      <c r="D972" s="35"/>
      <c r="F972" s="35"/>
      <c r="H972" s="35"/>
    </row>
    <row r="973" ht="15.75" customHeight="1">
      <c r="B973" s="35"/>
      <c r="C973" s="35"/>
      <c r="D973" s="35"/>
      <c r="F973" s="35"/>
      <c r="H973" s="35"/>
    </row>
    <row r="974" ht="15.75" customHeight="1">
      <c r="B974" s="35"/>
      <c r="C974" s="35"/>
      <c r="D974" s="35"/>
      <c r="F974" s="35"/>
      <c r="H974" s="35"/>
    </row>
    <row r="975" ht="15.75" customHeight="1">
      <c r="B975" s="35"/>
      <c r="C975" s="35"/>
      <c r="D975" s="35"/>
      <c r="F975" s="35"/>
      <c r="H975" s="35"/>
    </row>
    <row r="976" ht="15.75" customHeight="1">
      <c r="B976" s="35"/>
      <c r="C976" s="35"/>
      <c r="D976" s="35"/>
      <c r="F976" s="35"/>
      <c r="H976" s="35"/>
    </row>
    <row r="977" ht="15.75" customHeight="1">
      <c r="B977" s="35"/>
      <c r="C977" s="35"/>
      <c r="D977" s="35"/>
      <c r="F977" s="35"/>
      <c r="H977" s="35"/>
    </row>
    <row r="978" ht="15.75" customHeight="1">
      <c r="B978" s="35"/>
      <c r="C978" s="35"/>
      <c r="D978" s="35"/>
      <c r="F978" s="35"/>
      <c r="H978" s="35"/>
    </row>
    <row r="979" ht="15.75" customHeight="1">
      <c r="B979" s="35"/>
      <c r="C979" s="35"/>
      <c r="D979" s="35"/>
      <c r="F979" s="35"/>
      <c r="H979" s="35"/>
    </row>
    <row r="980" ht="15.75" customHeight="1">
      <c r="B980" s="35"/>
      <c r="C980" s="35"/>
      <c r="D980" s="35"/>
      <c r="F980" s="35"/>
      <c r="H980" s="35"/>
    </row>
    <row r="981" ht="15.75" customHeight="1">
      <c r="B981" s="35"/>
      <c r="C981" s="35"/>
      <c r="D981" s="35"/>
      <c r="F981" s="35"/>
      <c r="H981" s="35"/>
    </row>
    <row r="982" ht="15.75" customHeight="1">
      <c r="B982" s="35"/>
      <c r="C982" s="35"/>
      <c r="D982" s="35"/>
      <c r="F982" s="35"/>
      <c r="H982" s="35"/>
    </row>
    <row r="983" ht="15.75" customHeight="1">
      <c r="B983" s="35"/>
      <c r="C983" s="35"/>
      <c r="D983" s="35"/>
      <c r="F983" s="35"/>
      <c r="H983" s="35"/>
    </row>
    <row r="984" ht="15.75" customHeight="1">
      <c r="B984" s="35"/>
      <c r="C984" s="35"/>
      <c r="D984" s="35"/>
      <c r="F984" s="35"/>
      <c r="H984" s="35"/>
    </row>
    <row r="985" ht="15.75" customHeight="1">
      <c r="B985" s="35"/>
      <c r="C985" s="35"/>
      <c r="D985" s="35"/>
      <c r="F985" s="35"/>
      <c r="H985" s="35"/>
    </row>
    <row r="986" ht="15.75" customHeight="1">
      <c r="B986" s="35"/>
      <c r="C986" s="35"/>
      <c r="D986" s="35"/>
      <c r="F986" s="35"/>
      <c r="H986" s="35"/>
    </row>
    <row r="987" ht="15.75" customHeight="1">
      <c r="B987" s="35"/>
      <c r="C987" s="35"/>
      <c r="D987" s="35"/>
      <c r="F987" s="35"/>
      <c r="H987" s="35"/>
    </row>
    <row r="988" ht="15.75" customHeight="1">
      <c r="B988" s="35"/>
      <c r="C988" s="35"/>
      <c r="D988" s="35"/>
      <c r="F988" s="35"/>
      <c r="H988" s="35"/>
    </row>
    <row r="989" ht="15.75" customHeight="1">
      <c r="B989" s="35"/>
      <c r="C989" s="35"/>
      <c r="D989" s="35"/>
      <c r="F989" s="35"/>
      <c r="H989" s="35"/>
    </row>
    <row r="990" ht="15.75" customHeight="1">
      <c r="B990" s="35"/>
      <c r="C990" s="35"/>
      <c r="D990" s="35"/>
      <c r="F990" s="35"/>
      <c r="H990" s="35"/>
    </row>
    <row r="991" ht="15.75" customHeight="1">
      <c r="B991" s="35"/>
      <c r="C991" s="35"/>
      <c r="D991" s="35"/>
      <c r="F991" s="35"/>
      <c r="H991" s="35"/>
    </row>
    <row r="992" ht="15.75" customHeight="1">
      <c r="B992" s="35"/>
      <c r="C992" s="35"/>
      <c r="D992" s="35"/>
      <c r="F992" s="35"/>
      <c r="H992" s="35"/>
    </row>
    <row r="993" ht="15.75" customHeight="1">
      <c r="B993" s="35"/>
      <c r="C993" s="35"/>
      <c r="D993" s="35"/>
      <c r="F993" s="35"/>
      <c r="H993" s="35"/>
    </row>
    <row r="994" ht="15.75" customHeight="1">
      <c r="B994" s="35"/>
      <c r="C994" s="35"/>
      <c r="D994" s="35"/>
      <c r="F994" s="35"/>
      <c r="H994" s="35"/>
    </row>
    <row r="995" ht="15.75" customHeight="1">
      <c r="B995" s="35"/>
      <c r="C995" s="35"/>
      <c r="D995" s="35"/>
      <c r="F995" s="35"/>
      <c r="H995" s="35"/>
    </row>
    <row r="996" ht="15.75" customHeight="1">
      <c r="B996" s="35"/>
      <c r="C996" s="35"/>
      <c r="D996" s="35"/>
      <c r="F996" s="35"/>
      <c r="H996" s="35"/>
    </row>
    <row r="997" ht="15.75" customHeight="1">
      <c r="B997" s="35"/>
      <c r="C997" s="35"/>
      <c r="D997" s="35"/>
      <c r="F997" s="35"/>
      <c r="H997" s="35"/>
    </row>
    <row r="998" ht="15.75" customHeight="1">
      <c r="B998" s="35"/>
      <c r="C998" s="35"/>
      <c r="D998" s="35"/>
      <c r="F998" s="35"/>
      <c r="H998" s="35"/>
    </row>
    <row r="999" ht="15.75" customHeight="1">
      <c r="B999" s="35"/>
      <c r="C999" s="35"/>
      <c r="D999" s="35"/>
      <c r="F999" s="35"/>
      <c r="H999" s="35"/>
    </row>
    <row r="1000" ht="15.75" customHeight="1">
      <c r="B1000" s="35"/>
      <c r="C1000" s="35"/>
      <c r="D1000" s="35"/>
      <c r="F1000" s="35"/>
      <c r="H1000" s="35"/>
    </row>
    <row r="1001" ht="15.75" customHeight="1">
      <c r="B1001" s="35"/>
      <c r="C1001" s="35"/>
      <c r="D1001" s="35"/>
      <c r="F1001" s="35"/>
      <c r="H1001" s="35"/>
    </row>
  </sheetData>
  <customSheetViews>
    <customSheetView guid="{97E6C769-0CD3-4946-B2DC-AC83EDABD452}" filter="1" showAutoFilter="1">
      <autoFilter ref="$A$2:$A$62"/>
    </customSheetView>
  </customSheetViews>
  <dataValidations>
    <dataValidation type="custom" allowBlank="1" showDropDown="1" sqref="B2:E61">
      <formula1>AND(ISNUMBER(B2),(NOT(OR(NOT(ISERROR(DATEVALUE(B2))), AND(ISNUMBER(B2), LEFT(CELL("format", B2))="D")))))</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4.86"/>
    <col customWidth="1" min="5" max="11" width="8.71"/>
    <col customWidth="1" min="12" max="12" width="41.71"/>
    <col customWidth="1" min="13" max="13" width="31.29"/>
    <col customWidth="1" min="14" max="14" width="8.71"/>
    <col customWidth="1" min="15" max="15" width="18.43"/>
    <col customWidth="1" min="16" max="16" width="16.29"/>
    <col customWidth="1" min="17" max="17" width="8.71"/>
    <col customWidth="1" min="18" max="18" width="20.57"/>
    <col customWidth="1" min="19" max="25" width="8.71"/>
  </cols>
  <sheetData>
    <row r="1">
      <c r="A1" s="36" t="s">
        <v>71</v>
      </c>
      <c r="D1" s="37" t="s">
        <v>72</v>
      </c>
      <c r="L1" s="38" t="s">
        <v>73</v>
      </c>
      <c r="P1" s="39" t="s">
        <v>74</v>
      </c>
      <c r="R1" s="40" t="s">
        <v>75</v>
      </c>
    </row>
    <row r="2">
      <c r="A2" s="41"/>
      <c r="D2" s="42"/>
      <c r="L2" s="43" t="s">
        <v>76</v>
      </c>
      <c r="M2" s="44" t="s">
        <v>77</v>
      </c>
      <c r="N2" s="45">
        <f> COUNTIF(L10:L63, "CAPM&gt;TradingviewAnalyst")</f>
        <v>14</v>
      </c>
      <c r="O2" s="46" t="s">
        <v>78</v>
      </c>
      <c r="P2" s="47">
        <f>SUMPRODUCT(Assets!I2:I62,Assets!J2:J62)</f>
        <v>0.003137426357</v>
      </c>
      <c r="R2" s="48">
        <f>SQRT(P2)</f>
        <v>0.05601273388</v>
      </c>
    </row>
    <row r="3">
      <c r="A3" s="49" t="s">
        <v>79</v>
      </c>
      <c r="D3" s="50">
        <f>(SUMPRODUCT(Assets!B2:B62,Assets!E2:E62))*100</f>
        <v>39.97602407</v>
      </c>
      <c r="L3" s="51" t="str">
        <f>IF(Assets!B2&gt;Assets!H2, "TradingviewAnalyst&gt;CAPM", "CAPM&gt;TradingviewAnalyst")</f>
        <v>TradingviewAnalyst&gt;CAPM</v>
      </c>
    </row>
    <row r="4">
      <c r="A4" s="49" t="s">
        <v>80</v>
      </c>
      <c r="D4" s="48">
        <f>SQRT(P4)</f>
        <v>0.1803664082</v>
      </c>
      <c r="L4" s="51" t="str">
        <f>IF(Assets!B3&gt;Assets!H3, "TradingviewAnalyst&gt;CAPM", "CAPM&gt;TradingviewAnalyst")</f>
        <v>TradingviewAnalyst&gt;CAPM</v>
      </c>
      <c r="O4" s="52" t="s">
        <v>81</v>
      </c>
      <c r="P4" s="53">
        <f>P2+(2*E20*D17^2)*1891</f>
        <v>0.03253204122</v>
      </c>
      <c r="R4" s="54">
        <f>SQRT(P4)</f>
        <v>0.1803664082</v>
      </c>
    </row>
    <row r="5">
      <c r="A5" s="49" t="s">
        <v>82</v>
      </c>
      <c r="D5" s="55">
        <f>SUMPRODUCT(Assets!D2:D62,Assets!E2:E62)</f>
        <v>1.021450979</v>
      </c>
      <c r="E5" s="56" t="s">
        <v>83</v>
      </c>
      <c r="L5" s="51" t="str">
        <f>IF(Assets!B4&gt;Assets!H4, "TradingviewAnalyst&gt;CAPM", "CAPM&gt;TradingviewAnalyst")</f>
        <v>TradingviewAnalyst&gt;CAPM</v>
      </c>
      <c r="M5" s="35"/>
    </row>
    <row r="6">
      <c r="A6" s="49" t="s">
        <v>84</v>
      </c>
      <c r="D6" s="48">
        <f> (D3/100 - 0.034) / D4</f>
        <v>2.027873395</v>
      </c>
      <c r="L6" s="51" t="str">
        <f>IF(Assets!B5&gt;Assets!H5, "TradingviewAnalyst&gt;CAPM", "CAPM&gt;TradingviewAnalyst")</f>
        <v>TradingviewAnalyst&gt;CAPM</v>
      </c>
      <c r="M6" s="35"/>
    </row>
    <row r="7">
      <c r="A7" s="49"/>
      <c r="L7" s="51" t="str">
        <f>IF(Assets!B6&gt;Assets!H6, "TradingviewAnalyst&gt;CAPM", "CAPM&gt;TradingviewAnalyst")</f>
        <v>TradingviewAnalyst&gt;CAPM</v>
      </c>
      <c r="M7" s="35"/>
    </row>
    <row r="8">
      <c r="A8" s="49"/>
      <c r="L8" s="51" t="str">
        <f>IF(Assets!B7&gt;Assets!H7, "TradingviewAnalyst&gt;CAPM", "CAPM&gt;TradingviewAnalyst")</f>
        <v>TradingviewAnalyst&gt;CAPM</v>
      </c>
      <c r="M8" s="35"/>
    </row>
    <row r="9">
      <c r="A9" s="57" t="s">
        <v>85</v>
      </c>
      <c r="D9" s="58">
        <f>AVERAGE(Assets!B2:B62)</f>
        <v>0.5768852459</v>
      </c>
      <c r="G9" s="59"/>
      <c r="H9" s="60"/>
      <c r="I9" s="34"/>
      <c r="J9" s="34"/>
      <c r="L9" s="51" t="str">
        <f>IF(Assets!B8&gt;Assets!H8, "TradingviewAnalyst&gt;CAPM", "CAPM&gt;TradingviewAnalyst")</f>
        <v>TradingviewAnalyst&gt;CAPM</v>
      </c>
      <c r="M9" s="35"/>
    </row>
    <row r="10">
      <c r="A10" s="56" t="s">
        <v>86</v>
      </c>
      <c r="D10" s="61">
        <f>AVERAGE(Assets!C2:C62)</f>
        <v>0.3084453552</v>
      </c>
      <c r="G10" s="34"/>
      <c r="H10" s="34"/>
      <c r="I10" s="34"/>
      <c r="J10" s="34"/>
      <c r="L10" s="51" t="str">
        <f>IF(Assets!B9&gt;Assets!H9, "TradingviewAnalyst&gt;CAPM", "CAPM&gt;TradingviewAnalyst")</f>
        <v>CAPM&gt;TradingviewAnalyst</v>
      </c>
      <c r="M10" s="62"/>
    </row>
    <row r="11">
      <c r="A11" s="63" t="s">
        <v>87</v>
      </c>
      <c r="D11" s="64">
        <f>SUMPRODUCT(Tabla_1[[#DATA],[#TOTALS],[Volatility (%)]],Tabla_1[[#DATA],[#TOTALS],[Weight (%)]])</f>
        <v>0.3104862218</v>
      </c>
      <c r="E11" s="34"/>
      <c r="F11" s="33"/>
      <c r="G11" s="34"/>
      <c r="H11" s="34"/>
      <c r="I11" s="34"/>
      <c r="J11" s="34"/>
      <c r="L11" s="51" t="str">
        <f>IF(Assets!B10&gt;Assets!H10, "TradingviewAnalyst&gt;CAPM", "CAPM&gt;TradingviewAnalyst")</f>
        <v>TradingviewAnalyst&gt;CAPM</v>
      </c>
      <c r="M11" s="35"/>
    </row>
    <row r="12">
      <c r="A12" s="49"/>
      <c r="J12" s="65"/>
      <c r="L12" s="51" t="str">
        <f>IF(Assets!B11&gt;Assets!H11, "TradingviewAnalyst&gt;CAPM", "CAPM&gt;TradingviewAnalyst")</f>
        <v>TradingviewAnalyst&gt;CAPM</v>
      </c>
      <c r="M12" s="35"/>
    </row>
    <row r="13">
      <c r="A13" s="49"/>
      <c r="C13" s="33"/>
      <c r="D13" s="33"/>
      <c r="E13" s="34"/>
      <c r="F13" s="33"/>
      <c r="G13" s="34"/>
      <c r="H13" s="34"/>
      <c r="I13" s="34"/>
      <c r="J13" s="34"/>
      <c r="L13" s="51" t="str">
        <f>IF(Assets!B12&gt;Assets!H12, "TradingviewAnalyst&gt;CAPM", "CAPM&gt;TradingviewAnalyst")</f>
        <v>TradingviewAnalyst&gt;CAPM</v>
      </c>
      <c r="M13" s="35"/>
    </row>
    <row r="14">
      <c r="A14" s="49"/>
      <c r="B14" s="33"/>
      <c r="C14" s="33"/>
      <c r="D14" s="33"/>
      <c r="E14" s="34"/>
      <c r="F14" s="33"/>
      <c r="G14" s="34"/>
      <c r="J14" s="65"/>
      <c r="L14" s="51" t="str">
        <f>IF(Assets!B13&gt;Assets!H13, "TradingviewAnalyst&gt;CAPM", "CAPM&gt;TradingviewAnalyst")</f>
        <v>CAPM&gt;TradingviewAnalyst</v>
      </c>
      <c r="M14" s="62"/>
    </row>
    <row r="15">
      <c r="A15" s="49"/>
      <c r="B15" s="66" t="s">
        <v>88</v>
      </c>
      <c r="C15" s="67">
        <f>(0.034+D11*(0.085-0.034))*100</f>
        <v>4.983479731</v>
      </c>
      <c r="D15" s="56" t="s">
        <v>89</v>
      </c>
      <c r="E15" s="34"/>
      <c r="F15" s="33"/>
      <c r="G15" s="34"/>
      <c r="H15" s="68" t="s">
        <v>90</v>
      </c>
      <c r="I15" s="34">
        <f>((1+G25/100)^(1/(2+2/3))-1)*100</f>
        <v>8.90979774</v>
      </c>
      <c r="J15" s="65" t="s">
        <v>89</v>
      </c>
      <c r="L15" s="51" t="str">
        <f>IF(Assets!B14&gt;Assets!H14, "TradingviewAnalyst&gt;CAPM", "CAPM&gt;TradingviewAnalyst")</f>
        <v>CAPM&gt;TradingviewAnalyst</v>
      </c>
      <c r="M15" s="62"/>
    </row>
    <row r="16">
      <c r="A16" s="49"/>
      <c r="L16" s="51" t="str">
        <f>IF(Assets!B15&gt;Assets!H15, "TradingviewAnalyst&gt;CAPM", "CAPM&gt;TradingviewAnalyst")</f>
        <v>TradingviewAnalyst&gt;CAPM</v>
      </c>
      <c r="M16" s="35"/>
    </row>
    <row r="17">
      <c r="A17" s="69" t="s">
        <v>91</v>
      </c>
      <c r="D17" s="70">
        <f>AVERAGE(Assets!E2:E63)</f>
        <v>0.01639344262</v>
      </c>
      <c r="L17" s="51" t="str">
        <f>IF(Assets!B16&gt;Assets!H16, "TradingviewAnalyst&gt;CAPM", "CAPM&gt;TradingviewAnalyst")</f>
        <v>CAPM&gt;TradingviewAnalyst</v>
      </c>
      <c r="M17" s="62"/>
    </row>
    <row r="18">
      <c r="A18" s="56" t="s">
        <v>92</v>
      </c>
      <c r="D18" s="61">
        <f>AVERAGE(Assets!F2:F62)</f>
        <v>259.7713115</v>
      </c>
      <c r="L18" s="51" t="str">
        <f>IF(Assets!B17&gt;Assets!H17, "TradingviewAnalyst&gt;CAPM", "CAPM&gt;TradingviewAnalyst")</f>
        <v>CAPM&gt;TradingviewAnalyst</v>
      </c>
      <c r="M18" s="62"/>
    </row>
    <row r="19">
      <c r="A19" s="56" t="s">
        <v>93</v>
      </c>
      <c r="D19" s="71">
        <f>AVERAGE(Assets!D2:D62)</f>
        <v>1.005502732</v>
      </c>
      <c r="L19" s="51" t="str">
        <f>IF(Assets!B18&gt;Assets!H18, "TradingviewAnalyst&gt;CAPM", "CAPM&gt;TradingviewAnalyst")</f>
        <v>CAPM&gt;TradingviewAnalyst</v>
      </c>
      <c r="M19" s="62"/>
    </row>
    <row r="20">
      <c r="A20" s="72" t="s">
        <v>94</v>
      </c>
      <c r="E20" s="52">
        <f> 0.3 * D11^2</f>
        <v>0.02892050818</v>
      </c>
      <c r="L20" s="51" t="str">
        <f>IF(Assets!B19&gt;Assets!H19, "TradingviewAnalyst&gt;CAPM", "CAPM&gt;TradingviewAnalyst")</f>
        <v>CAPM&gt;TradingviewAnalyst</v>
      </c>
      <c r="M20" s="62"/>
    </row>
    <row r="21">
      <c r="A21" s="63" t="s">
        <v>95</v>
      </c>
      <c r="L21" s="51" t="str">
        <f>IF(Assets!B20&gt;Assets!H20, "TradingviewAnalyst&gt;CAPM", "CAPM&gt;TradingviewAnalyst")</f>
        <v>CAPM&gt;TradingviewAnalyst</v>
      </c>
      <c r="M21" s="62"/>
    </row>
    <row r="22" ht="15.75" customHeight="1">
      <c r="A22" s="73" t="s">
        <v>96</v>
      </c>
      <c r="D22" s="74">
        <f>SUM(Assets!F2:F63)</f>
        <v>15846.05</v>
      </c>
      <c r="L22" s="51" t="str">
        <f>IF(Assets!B21&gt;Assets!H21, "TradingviewAnalyst&gt;CAPM", "CAPM&gt;TradingviewAnalyst")</f>
        <v>CAPM&gt;TradingviewAnalyst</v>
      </c>
      <c r="M22" s="62"/>
    </row>
    <row r="23" ht="15.75" customHeight="1">
      <c r="A23" s="56" t="s">
        <v>97</v>
      </c>
      <c r="D23" s="75">
        <v>17334.57</v>
      </c>
      <c r="L23" s="51" t="str">
        <f>IF(Assets!B22&gt;Assets!H22, "TradingviewAnalyst&gt;CAPM", "CAPM&gt;TradingviewAnalyst")</f>
        <v>CAPM&gt;TradingviewAnalyst</v>
      </c>
      <c r="M23" s="62"/>
    </row>
    <row r="24" ht="15.75" customHeight="1">
      <c r="A24" s="56" t="s">
        <v>98</v>
      </c>
      <c r="D24" s="76">
        <f>((D23/D22)-1)*100</f>
        <v>9.393634376</v>
      </c>
      <c r="L24" s="51" t="str">
        <f>IF(Assets!B23&gt;Assets!H23, "TradingviewAnalyst&gt;CAPM", "CAPM&gt;TradingviewAnalyst")</f>
        <v>TradingviewAnalyst&gt;CAPM</v>
      </c>
      <c r="M24" s="35"/>
    </row>
    <row r="25" ht="15.75" customHeight="1">
      <c r="A25" s="56" t="s">
        <v>99</v>
      </c>
      <c r="G25" s="77">
        <f>((D23/(13000*1.062))-1)*100</f>
        <v>25.55823555</v>
      </c>
      <c r="L25" s="51" t="str">
        <f>IF(Assets!B24&gt;Assets!H24, "TradingviewAnalyst&gt;CAPM", "CAPM&gt;TradingviewAnalyst")</f>
        <v>TradingviewAnalyst&gt;CAPM</v>
      </c>
      <c r="M25" s="35"/>
    </row>
    <row r="26" ht="15.75" customHeight="1">
      <c r="A26" s="49"/>
      <c r="L26" s="51" t="str">
        <f>IF(Assets!B25&gt;Assets!H25, "TradingviewAnalyst&gt;CAPM", "CAPM&gt;TradingviewAnalyst")</f>
        <v>TradingviewAnalyst&gt;CAPM</v>
      </c>
      <c r="M26" s="35"/>
    </row>
    <row r="27" ht="15.75" customHeight="1">
      <c r="A27" s="49"/>
      <c r="L27" s="51" t="str">
        <f>IF(Assets!B26&gt;Assets!H26, "TradingviewAnalyst&gt;CAPM", "CAPM&gt;TradingviewAnalyst")</f>
        <v>TradingviewAnalyst&gt;CAPM</v>
      </c>
      <c r="M27" s="35"/>
    </row>
    <row r="28" ht="15.75" customHeight="1">
      <c r="A28" s="78" t="s">
        <v>100</v>
      </c>
      <c r="B28" s="78"/>
      <c r="C28" s="78"/>
      <c r="D28" s="78"/>
      <c r="E28" s="78"/>
      <c r="F28" s="78"/>
      <c r="L28" s="51" t="str">
        <f>IF(Assets!B27&gt;Assets!H27, "TradingviewAnalyst&gt;CAPM", "CAPM&gt;TradingviewAnalyst")</f>
        <v>TradingviewAnalyst&gt;CAPM</v>
      </c>
      <c r="M28" s="35"/>
    </row>
    <row r="29" ht="15.75" customHeight="1">
      <c r="A29" s="49"/>
      <c r="L29" s="51" t="str">
        <f>IF(Assets!B28&gt;Assets!H28, "TradingviewAnalyst&gt;CAPM", "CAPM&gt;TradingviewAnalyst")</f>
        <v>CAPM&gt;TradingviewAnalyst</v>
      </c>
      <c r="M29" s="62"/>
    </row>
    <row r="30" ht="15.75" customHeight="1">
      <c r="A30" s="49"/>
      <c r="L30" s="51" t="str">
        <f>IF(Assets!B29&gt;Assets!H29, "TradingviewAnalyst&gt;CAPM", "CAPM&gt;TradingviewAnalyst")</f>
        <v>TradingviewAnalyst&gt;CAPM</v>
      </c>
      <c r="M30" s="35"/>
    </row>
    <row r="31" ht="15.75" customHeight="1">
      <c r="A31" s="49"/>
      <c r="L31" s="51" t="str">
        <f>IF(Assets!B30&gt;Assets!H30, "TradingviewAnalyst&gt;CAPM", "CAPM&gt;TradingviewAnalyst")</f>
        <v>TradingviewAnalyst&gt;CAPM</v>
      </c>
      <c r="M31" s="35"/>
    </row>
    <row r="32" ht="15.75" customHeight="1">
      <c r="A32" s="49"/>
      <c r="L32" s="51" t="str">
        <f>IF(Assets!B31&gt;Assets!H31, "TradingviewAnalyst&gt;CAPM", "CAPM&gt;TradingviewAnalyst")</f>
        <v>TradingviewAnalyst&gt;CAPM</v>
      </c>
      <c r="M32" s="35"/>
    </row>
    <row r="33" ht="15.75" customHeight="1">
      <c r="A33" s="49"/>
      <c r="L33" s="51" t="str">
        <f>IF(Assets!B32&gt;Assets!H32, "TradingviewAnalyst&gt;CAPM", "CAPM&gt;TradingviewAnalyst")</f>
        <v>TradingviewAnalyst&gt;CAPM</v>
      </c>
      <c r="M33" s="35"/>
    </row>
    <row r="34" ht="15.75" customHeight="1">
      <c r="A34" s="49"/>
      <c r="L34" s="51" t="str">
        <f>IF(Assets!B33&gt;Assets!H33, "TradingviewAnalyst&gt;CAPM", "CAPM&gt;TradingviewAnalyst")</f>
        <v>TradingviewAnalyst&gt;CAPM</v>
      </c>
      <c r="M34" s="35"/>
    </row>
    <row r="35" ht="15.75" customHeight="1">
      <c r="A35" s="49"/>
      <c r="L35" s="51" t="str">
        <f>IF(Assets!B34&gt;Assets!H34, "TradingviewAnalyst&gt;CAPM", "CAPM&gt;TradingviewAnalyst")</f>
        <v>CAPM&gt;TradingviewAnalyst</v>
      </c>
      <c r="M35" s="62"/>
    </row>
    <row r="36" ht="15.75" customHeight="1">
      <c r="A36" s="49"/>
      <c r="L36" s="51" t="str">
        <f>IF(Assets!B35&gt;Assets!H35, "TradingviewAnalyst&gt;CAPM", "CAPM&gt;TradingviewAnalyst")</f>
        <v>TradingviewAnalyst&gt;CAPM</v>
      </c>
      <c r="M36" s="35"/>
    </row>
    <row r="37" ht="15.75" customHeight="1">
      <c r="A37" s="49"/>
      <c r="L37" s="51" t="str">
        <f>IF(Assets!B36&gt;Assets!H36, "TradingviewAnalyst&gt;CAPM", "CAPM&gt;TradingviewAnalyst")</f>
        <v>TradingviewAnalyst&gt;CAPM</v>
      </c>
      <c r="M37" s="35"/>
    </row>
    <row r="38" ht="15.75" customHeight="1">
      <c r="A38" s="49"/>
      <c r="L38" s="51" t="str">
        <f>IF(Assets!B37&gt;Assets!H37, "TradingviewAnalyst&gt;CAPM", "CAPM&gt;TradingviewAnalyst")</f>
        <v>TradingviewAnalyst&gt;CAPM</v>
      </c>
      <c r="M38" s="35"/>
    </row>
    <row r="39" ht="15.75" customHeight="1">
      <c r="A39" s="49"/>
      <c r="L39" s="51" t="str">
        <f>IF(Assets!B38&gt;Assets!H38, "TradingviewAnalyst&gt;CAPM", "CAPM&gt;TradingviewAnalyst")</f>
        <v>TradingviewAnalyst&gt;CAPM</v>
      </c>
      <c r="M39" s="35"/>
    </row>
    <row r="40" ht="15.75" customHeight="1">
      <c r="A40" s="49"/>
      <c r="L40" s="51" t="str">
        <f>IF(Assets!B39&gt;Assets!H39, "TradingviewAnalyst&gt;CAPM", "CAPM&gt;TradingviewAnalyst")</f>
        <v>TradingviewAnalyst&gt;CAPM</v>
      </c>
      <c r="M40" s="35"/>
    </row>
    <row r="41" ht="15.75" customHeight="1">
      <c r="A41" s="49"/>
      <c r="L41" s="51" t="str">
        <f>IF(Assets!B40&gt;Assets!H40, "TradingviewAnalyst&gt;CAPM", "CAPM&gt;TradingviewAnalyst")</f>
        <v>TradingviewAnalyst&gt;CAPM</v>
      </c>
      <c r="M41" s="35"/>
    </row>
    <row r="42" ht="15.75" customHeight="1">
      <c r="A42" s="49"/>
      <c r="L42" s="51" t="str">
        <f>IF(Assets!B41&gt;Assets!H41, "TradingviewAnalyst&gt;CAPM", "CAPM&gt;TradingviewAnalyst")</f>
        <v>TradingviewAnalyst&gt;CAPM</v>
      </c>
      <c r="M42" s="35"/>
    </row>
    <row r="43" ht="15.75" customHeight="1">
      <c r="A43" s="49"/>
      <c r="L43" s="51" t="str">
        <f>IF(Assets!B42&gt;Assets!H42, "TradingviewAnalyst&gt;CAPM", "CAPM&gt;TradingviewAnalyst")</f>
        <v>TradingviewAnalyst&gt;CAPM</v>
      </c>
      <c r="M43" s="35"/>
    </row>
    <row r="44" ht="15.75" customHeight="1">
      <c r="A44" s="49"/>
      <c r="L44" s="51" t="str">
        <f>IF(Assets!B43&gt;Assets!H43, "TradingviewAnalyst&gt;CAPM", "CAPM&gt;TradingviewAnalyst")</f>
        <v>CAPM&gt;TradingviewAnalyst</v>
      </c>
      <c r="M44" s="62"/>
    </row>
    <row r="45" ht="15.75" customHeight="1">
      <c r="A45" s="49"/>
      <c r="L45" s="51" t="str">
        <f>IF(Assets!B44&gt;Assets!H44, "TradingviewAnalyst&gt;CAPM", "CAPM&gt;TradingviewAnalyst")</f>
        <v>TradingviewAnalyst&gt;CAPM</v>
      </c>
      <c r="M45" s="35"/>
    </row>
    <row r="46" ht="15.75" customHeight="1">
      <c r="A46" s="49"/>
      <c r="L46" s="51" t="str">
        <f>IF(Assets!B45&gt;Assets!H45, "TradingviewAnalyst&gt;CAPM", "CAPM&gt;TradingviewAnalyst")</f>
        <v>TradingviewAnalyst&gt;CAPM</v>
      </c>
      <c r="M46" s="35"/>
    </row>
    <row r="47" ht="15.75" customHeight="1">
      <c r="A47" s="49"/>
      <c r="L47" s="51" t="str">
        <f>IF(Assets!B46&gt;Assets!H46, "TradingviewAnalyst&gt;CAPM", "CAPM&gt;TradingviewAnalyst")</f>
        <v>TradingviewAnalyst&gt;CAPM</v>
      </c>
      <c r="M47" s="35"/>
    </row>
    <row r="48" ht="15.75" customHeight="1">
      <c r="A48" s="49"/>
      <c r="L48" s="51" t="str">
        <f>IF(Assets!B47&gt;Assets!H47, "TradingviewAnalyst&gt;CAPM", "CAPM&gt;TradingviewAnalyst")</f>
        <v>TradingviewAnalyst&gt;CAPM</v>
      </c>
      <c r="M48" s="35"/>
    </row>
    <row r="49" ht="15.75" customHeight="1">
      <c r="A49" s="49"/>
      <c r="L49" s="51" t="str">
        <f>IF(Assets!B48&gt;Assets!H48, "TradingviewAnalyst&gt;CAPM", "CAPM&gt;TradingviewAnalyst")</f>
        <v>TradingviewAnalyst&gt;CAPM</v>
      </c>
      <c r="M49" s="35"/>
    </row>
    <row r="50" ht="15.75" customHeight="1">
      <c r="A50" s="49"/>
      <c r="L50" s="51" t="str">
        <f>IF(Assets!B49&gt;Assets!H49, "TradingviewAnalyst&gt;CAPM", "CAPM&gt;TradingviewAnalyst")</f>
        <v>TradingviewAnalyst&gt;CAPM</v>
      </c>
      <c r="M50" s="35"/>
    </row>
    <row r="51" ht="15.75" customHeight="1">
      <c r="A51" s="49"/>
      <c r="L51" s="51" t="str">
        <f>IF(Assets!B50&gt;Assets!H50, "TradingviewAnalyst&gt;CAPM", "CAPM&gt;TradingviewAnalyst")</f>
        <v>TradingviewAnalyst&gt;CAPM</v>
      </c>
      <c r="M51" s="35"/>
    </row>
    <row r="52" ht="15.75" customHeight="1">
      <c r="A52" s="49"/>
      <c r="L52" s="51" t="str">
        <f>IF(Assets!B51&gt;Assets!H51, "TradingviewAnalyst&gt;CAPM", "CAPM&gt;TradingviewAnalyst")</f>
        <v>TradingviewAnalyst&gt;CAPM</v>
      </c>
      <c r="M52" s="35"/>
    </row>
    <row r="53" ht="15.75" customHeight="1">
      <c r="A53" s="49"/>
      <c r="L53" s="51" t="str">
        <f>IF(Assets!B52&gt;Assets!H52, "TradingviewAnalyst&gt;CAPM", "CAPM&gt;TradingviewAnalyst")</f>
        <v>CAPM&gt;TradingviewAnalyst</v>
      </c>
      <c r="M53" s="62"/>
    </row>
    <row r="54" ht="15.75" customHeight="1">
      <c r="A54" s="49"/>
      <c r="L54" s="51" t="str">
        <f>IF(Assets!B53&gt;Assets!H53, "TradingviewAnalyst&gt;CAPM", "CAPM&gt;TradingviewAnalyst")</f>
        <v>TradingviewAnalyst&gt;CAPM</v>
      </c>
      <c r="M54" s="35"/>
    </row>
    <row r="55" ht="15.75" customHeight="1">
      <c r="A55" s="49"/>
      <c r="L55" s="51" t="str">
        <f>IF(Assets!B54&gt;Assets!H54, "TradingviewAnalyst&gt;CAPM", "CAPM&gt;TradingviewAnalyst")</f>
        <v>TradingviewAnalyst&gt;CAPM</v>
      </c>
      <c r="M55" s="35"/>
    </row>
    <row r="56" ht="15.75" customHeight="1">
      <c r="A56" s="49"/>
      <c r="L56" s="51" t="str">
        <f>IF(Assets!B55&gt;Assets!H55, "TradingviewAnalyst&gt;CAPM", "CAPM&gt;TradingviewAnalyst")</f>
        <v>TradingviewAnalyst&gt;CAPM</v>
      </c>
      <c r="M56" s="35"/>
    </row>
    <row r="57" ht="15.75" customHeight="1">
      <c r="A57" s="49"/>
      <c r="L57" s="51" t="str">
        <f>IF(Assets!B56&gt;Assets!H56, "TradingviewAnalyst&gt;CAPM", "CAPM&gt;TradingviewAnalyst")</f>
        <v>TradingviewAnalyst&gt;CAPM</v>
      </c>
      <c r="M57" s="35"/>
    </row>
    <row r="58" ht="15.75" customHeight="1">
      <c r="A58" s="49"/>
      <c r="L58" s="51" t="str">
        <f>IF(Assets!B57&gt;Assets!H57, "TradingviewAnalyst&gt;CAPM", "CAPM&gt;TradingviewAnalyst")</f>
        <v>TradingviewAnalyst&gt;CAPM</v>
      </c>
      <c r="M58" s="35"/>
    </row>
    <row r="59" ht="15.75" customHeight="1">
      <c r="A59" s="49"/>
      <c r="L59" s="51" t="str">
        <f>IF(Assets!B58&gt;Assets!H58, "TradingviewAnalyst&gt;CAPM", "CAPM&gt;TradingviewAnalyst")</f>
        <v>TradingviewAnalyst&gt;CAPM</v>
      </c>
      <c r="M59" s="35"/>
    </row>
    <row r="60" ht="15.75" customHeight="1">
      <c r="A60" s="49"/>
      <c r="L60" s="51" t="str">
        <f>IF(Assets!B59&gt;Assets!H59, "TradingviewAnalyst&gt;CAPM", "CAPM&gt;TradingviewAnalyst")</f>
        <v>TradingviewAnalyst&gt;CAPM</v>
      </c>
      <c r="M60" s="35"/>
    </row>
    <row r="61" ht="15.75" customHeight="1">
      <c r="A61" s="49"/>
      <c r="L61" s="51" t="str">
        <f>IF(Assets!B60&gt;Assets!H60, "TradingviewAnalyst&gt;CAPM", "CAPM&gt;TradingviewAnalyst")</f>
        <v>TradingviewAnalyst&gt;CAPM</v>
      </c>
      <c r="M61" s="35"/>
    </row>
    <row r="62" ht="15.75" customHeight="1">
      <c r="A62" s="49"/>
      <c r="L62" s="51" t="str">
        <f>IF(Assets!B61&gt;Assets!H61, "TradingviewAnalyst&gt;CAPM", "CAPM&gt;TradingviewAnalyst")</f>
        <v>TradingviewAnalyst&gt;CAPM</v>
      </c>
      <c r="M62" s="35"/>
    </row>
    <row r="63" ht="15.75" customHeight="1">
      <c r="A63" s="49"/>
      <c r="L63" s="35"/>
    </row>
    <row r="64" ht="15.75" customHeight="1">
      <c r="A64" s="49"/>
      <c r="L64" s="35"/>
    </row>
    <row r="65" ht="15.75" customHeight="1">
      <c r="A65" s="49"/>
      <c r="L65" s="33"/>
    </row>
    <row r="66" ht="15.75" customHeight="1">
      <c r="A66" s="49"/>
      <c r="L66" s="33"/>
    </row>
    <row r="67" ht="15.75" customHeight="1">
      <c r="A67" s="49"/>
      <c r="L67" s="33"/>
    </row>
    <row r="68" ht="15.75" customHeight="1">
      <c r="A68" s="49"/>
      <c r="L68" s="33"/>
    </row>
    <row r="69" ht="15.75" customHeight="1">
      <c r="A69" s="49"/>
      <c r="L69" s="33"/>
    </row>
    <row r="70" ht="15.75" customHeight="1">
      <c r="A70" s="49"/>
      <c r="L70" s="33"/>
    </row>
    <row r="71" ht="15.75" customHeight="1">
      <c r="A71" s="49"/>
      <c r="L71" s="33"/>
    </row>
    <row r="72" ht="15.75" customHeight="1">
      <c r="A72" s="49"/>
      <c r="L72" s="33"/>
    </row>
    <row r="73" ht="15.75" customHeight="1">
      <c r="A73" s="49"/>
      <c r="L73" s="35"/>
    </row>
    <row r="74" ht="15.75" customHeight="1">
      <c r="A74" s="49"/>
      <c r="L74" s="35"/>
    </row>
    <row r="75" ht="15.75" customHeight="1">
      <c r="A75" s="49"/>
      <c r="L75" s="35"/>
    </row>
    <row r="76" ht="15.75" customHeight="1">
      <c r="A76" s="49"/>
      <c r="L76" s="35"/>
    </row>
    <row r="77" ht="15.75" customHeight="1">
      <c r="A77" s="49"/>
      <c r="L77" s="35"/>
    </row>
    <row r="78" ht="15.75" customHeight="1">
      <c r="A78" s="49"/>
      <c r="L78" s="35"/>
    </row>
    <row r="79" ht="15.75" customHeight="1">
      <c r="A79" s="49"/>
      <c r="L79" s="35"/>
    </row>
    <row r="80" ht="15.75" customHeight="1">
      <c r="A80" s="49"/>
      <c r="L80" s="35"/>
    </row>
    <row r="81" ht="15.75" customHeight="1">
      <c r="A81" s="49"/>
      <c r="L81" s="35"/>
    </row>
    <row r="82" ht="15.75" customHeight="1">
      <c r="A82" s="49"/>
      <c r="L82" s="35"/>
    </row>
    <row r="83" ht="15.75" customHeight="1">
      <c r="A83" s="49"/>
      <c r="L83" s="35"/>
    </row>
    <row r="84" ht="15.75" customHeight="1">
      <c r="A84" s="49"/>
      <c r="L84" s="35"/>
    </row>
    <row r="85" ht="15.75" customHeight="1">
      <c r="A85" s="49"/>
      <c r="L85" s="35"/>
    </row>
    <row r="86" ht="15.75" customHeight="1">
      <c r="A86" s="49"/>
      <c r="L86" s="35"/>
    </row>
    <row r="87" ht="15.75" customHeight="1">
      <c r="A87" s="49"/>
      <c r="L87" s="35"/>
    </row>
    <row r="88" ht="15.75" customHeight="1">
      <c r="A88" s="49"/>
      <c r="L88" s="35"/>
    </row>
    <row r="89" ht="15.75" customHeight="1">
      <c r="A89" s="49"/>
      <c r="L89" s="35"/>
    </row>
    <row r="90" ht="15.75" customHeight="1">
      <c r="A90" s="49"/>
      <c r="L90" s="35"/>
    </row>
    <row r="91" ht="15.75" customHeight="1">
      <c r="A91" s="49"/>
      <c r="L91" s="35"/>
    </row>
    <row r="92" ht="15.75" customHeight="1">
      <c r="A92" s="49"/>
      <c r="L92" s="35"/>
    </row>
    <row r="93" ht="15.75" customHeight="1">
      <c r="A93" s="49"/>
      <c r="L93" s="35"/>
    </row>
    <row r="94" ht="15.75" customHeight="1">
      <c r="A94" s="49"/>
      <c r="L94" s="35"/>
    </row>
    <row r="95" ht="15.75" customHeight="1">
      <c r="A95" s="49"/>
      <c r="L95" s="35"/>
    </row>
    <row r="96" ht="15.75" customHeight="1">
      <c r="A96" s="49"/>
      <c r="L96" s="35"/>
    </row>
    <row r="97" ht="15.75" customHeight="1">
      <c r="A97" s="49"/>
      <c r="L97" s="35"/>
    </row>
    <row r="98" ht="15.75" customHeight="1">
      <c r="A98" s="49"/>
      <c r="L98" s="35"/>
    </row>
    <row r="99" ht="15.75" customHeight="1">
      <c r="A99" s="49"/>
      <c r="L99" s="35"/>
    </row>
    <row r="100" ht="15.75" customHeight="1">
      <c r="A100" s="49"/>
      <c r="L100" s="35"/>
    </row>
    <row r="101" ht="15.75" customHeight="1">
      <c r="A101" s="49"/>
      <c r="L101" s="35"/>
    </row>
    <row r="102" ht="15.75" customHeight="1">
      <c r="A102" s="49"/>
      <c r="L102" s="35"/>
    </row>
    <row r="103" ht="15.75" customHeight="1">
      <c r="A103" s="49"/>
      <c r="L103" s="35"/>
    </row>
    <row r="104" ht="15.75" customHeight="1">
      <c r="A104" s="49"/>
      <c r="L104" s="35"/>
    </row>
    <row r="105" ht="15.75" customHeight="1">
      <c r="A105" s="49"/>
      <c r="L105" s="35"/>
    </row>
    <row r="106" ht="15.75" customHeight="1">
      <c r="A106" s="49"/>
      <c r="L106" s="35"/>
    </row>
    <row r="107" ht="15.75" customHeight="1">
      <c r="A107" s="49"/>
      <c r="L107" s="35"/>
    </row>
    <row r="108" ht="15.75" customHeight="1">
      <c r="A108" s="49"/>
      <c r="L108" s="35"/>
    </row>
    <row r="109" ht="15.75" customHeight="1">
      <c r="A109" s="49"/>
      <c r="L109" s="35"/>
    </row>
    <row r="110" ht="15.75" customHeight="1">
      <c r="A110" s="49"/>
      <c r="L110" s="35"/>
    </row>
    <row r="111" ht="15.75" customHeight="1">
      <c r="A111" s="49"/>
      <c r="L111" s="35"/>
    </row>
    <row r="112" ht="15.75" customHeight="1">
      <c r="A112" s="49"/>
      <c r="L112" s="35"/>
    </row>
    <row r="113" ht="15.75" customHeight="1">
      <c r="A113" s="49"/>
      <c r="L113" s="35"/>
    </row>
    <row r="114" ht="15.75" customHeight="1">
      <c r="A114" s="49"/>
      <c r="L114" s="35"/>
    </row>
    <row r="115" ht="15.75" customHeight="1">
      <c r="A115" s="49"/>
      <c r="L115" s="35"/>
    </row>
    <row r="116" ht="15.75" customHeight="1">
      <c r="A116" s="49"/>
      <c r="L116" s="35"/>
    </row>
    <row r="117" ht="15.75" customHeight="1">
      <c r="A117" s="49"/>
      <c r="L117" s="35"/>
    </row>
    <row r="118" ht="15.75" customHeight="1">
      <c r="A118" s="49"/>
      <c r="L118" s="35"/>
    </row>
    <row r="119" ht="15.75" customHeight="1">
      <c r="A119" s="49"/>
      <c r="L119" s="35"/>
    </row>
    <row r="120" ht="15.75" customHeight="1">
      <c r="A120" s="49"/>
      <c r="L120" s="35"/>
    </row>
    <row r="121" ht="15.75" customHeight="1">
      <c r="A121" s="49"/>
      <c r="L121" s="35"/>
    </row>
    <row r="122" ht="15.75" customHeight="1">
      <c r="A122" s="49"/>
      <c r="L122" s="35"/>
    </row>
    <row r="123" ht="15.75" customHeight="1">
      <c r="A123" s="49"/>
      <c r="L123" s="35"/>
    </row>
    <row r="124" ht="15.75" customHeight="1">
      <c r="A124" s="49"/>
      <c r="L124" s="35"/>
    </row>
    <row r="125" ht="15.75" customHeight="1">
      <c r="A125" s="49"/>
      <c r="L125" s="35"/>
    </row>
    <row r="126" ht="15.75" customHeight="1">
      <c r="A126" s="49"/>
      <c r="L126" s="35"/>
    </row>
    <row r="127" ht="15.75" customHeight="1">
      <c r="A127" s="49"/>
      <c r="L127" s="35"/>
    </row>
    <row r="128" ht="15.75" customHeight="1">
      <c r="A128" s="49"/>
      <c r="L128" s="35"/>
    </row>
    <row r="129" ht="15.75" customHeight="1">
      <c r="A129" s="49"/>
      <c r="L129" s="35"/>
    </row>
    <row r="130" ht="15.75" customHeight="1">
      <c r="A130" s="49"/>
      <c r="L130" s="35"/>
    </row>
    <row r="131" ht="15.75" customHeight="1">
      <c r="A131" s="49"/>
      <c r="L131" s="35"/>
    </row>
    <row r="132" ht="15.75" customHeight="1">
      <c r="A132" s="49"/>
      <c r="L132" s="35"/>
    </row>
    <row r="133" ht="15.75" customHeight="1">
      <c r="A133" s="49"/>
      <c r="L133" s="35"/>
    </row>
    <row r="134" ht="15.75" customHeight="1">
      <c r="A134" s="49"/>
      <c r="L134" s="35"/>
    </row>
    <row r="135" ht="15.75" customHeight="1">
      <c r="A135" s="49"/>
      <c r="L135" s="35"/>
    </row>
    <row r="136" ht="15.75" customHeight="1">
      <c r="A136" s="49"/>
      <c r="L136" s="35"/>
    </row>
    <row r="137" ht="15.75" customHeight="1">
      <c r="A137" s="49"/>
      <c r="L137" s="35"/>
    </row>
    <row r="138" ht="15.75" customHeight="1">
      <c r="A138" s="49"/>
      <c r="L138" s="35"/>
    </row>
    <row r="139" ht="15.75" customHeight="1">
      <c r="A139" s="49"/>
      <c r="L139" s="35"/>
    </row>
    <row r="140" ht="15.75" customHeight="1">
      <c r="A140" s="49"/>
      <c r="L140" s="35"/>
    </row>
    <row r="141" ht="15.75" customHeight="1">
      <c r="A141" s="49"/>
      <c r="L141" s="35"/>
    </row>
    <row r="142" ht="15.75" customHeight="1">
      <c r="A142" s="49"/>
      <c r="L142" s="35"/>
    </row>
    <row r="143" ht="15.75" customHeight="1">
      <c r="A143" s="49"/>
      <c r="L143" s="35"/>
    </row>
    <row r="144" ht="15.75" customHeight="1">
      <c r="A144" s="49"/>
      <c r="L144" s="35"/>
    </row>
    <row r="145" ht="15.75" customHeight="1">
      <c r="A145" s="49"/>
      <c r="L145" s="35"/>
    </row>
    <row r="146" ht="15.75" customHeight="1">
      <c r="A146" s="49"/>
      <c r="L146" s="35"/>
    </row>
    <row r="147" ht="15.75" customHeight="1">
      <c r="A147" s="49"/>
      <c r="L147" s="35"/>
    </row>
    <row r="148" ht="15.75" customHeight="1">
      <c r="A148" s="49"/>
      <c r="L148" s="35"/>
    </row>
    <row r="149" ht="15.75" customHeight="1">
      <c r="A149" s="49"/>
      <c r="L149" s="35"/>
    </row>
    <row r="150" ht="15.75" customHeight="1">
      <c r="A150" s="49"/>
      <c r="L150" s="35"/>
    </row>
    <row r="151" ht="15.75" customHeight="1">
      <c r="A151" s="49"/>
      <c r="L151" s="35"/>
    </row>
    <row r="152" ht="15.75" customHeight="1">
      <c r="A152" s="49"/>
      <c r="L152" s="35"/>
    </row>
    <row r="153" ht="15.75" customHeight="1">
      <c r="A153" s="49"/>
      <c r="L153" s="35"/>
    </row>
    <row r="154" ht="15.75" customHeight="1">
      <c r="A154" s="49"/>
      <c r="L154" s="35"/>
    </row>
    <row r="155" ht="15.75" customHeight="1">
      <c r="A155" s="49"/>
      <c r="L155" s="35"/>
    </row>
    <row r="156" ht="15.75" customHeight="1">
      <c r="A156" s="49"/>
      <c r="L156" s="35"/>
    </row>
    <row r="157" ht="15.75" customHeight="1">
      <c r="A157" s="49"/>
      <c r="L157" s="35"/>
    </row>
    <row r="158" ht="15.75" customHeight="1">
      <c r="A158" s="49"/>
      <c r="L158" s="35"/>
    </row>
    <row r="159" ht="15.75" customHeight="1">
      <c r="A159" s="49"/>
      <c r="L159" s="35"/>
    </row>
    <row r="160" ht="15.75" customHeight="1">
      <c r="A160" s="49"/>
      <c r="L160" s="35"/>
    </row>
    <row r="161" ht="15.75" customHeight="1">
      <c r="A161" s="49"/>
      <c r="L161" s="35"/>
    </row>
    <row r="162" ht="15.75" customHeight="1">
      <c r="A162" s="49"/>
      <c r="L162" s="35"/>
    </row>
    <row r="163" ht="15.75" customHeight="1">
      <c r="A163" s="49"/>
      <c r="L163" s="35"/>
    </row>
    <row r="164" ht="15.75" customHeight="1">
      <c r="A164" s="49"/>
      <c r="L164" s="35"/>
    </row>
    <row r="165" ht="15.75" customHeight="1">
      <c r="A165" s="49"/>
      <c r="L165" s="35"/>
    </row>
    <row r="166" ht="15.75" customHeight="1">
      <c r="A166" s="49"/>
      <c r="L166" s="35"/>
    </row>
    <row r="167" ht="15.75" customHeight="1">
      <c r="A167" s="49"/>
      <c r="L167" s="35"/>
    </row>
    <row r="168" ht="15.75" customHeight="1">
      <c r="A168" s="49"/>
      <c r="L168" s="35"/>
    </row>
    <row r="169" ht="15.75" customHeight="1">
      <c r="A169" s="49"/>
      <c r="L169" s="35"/>
    </row>
    <row r="170" ht="15.75" customHeight="1">
      <c r="A170" s="49"/>
      <c r="L170" s="35"/>
    </row>
    <row r="171" ht="15.75" customHeight="1">
      <c r="A171" s="49"/>
      <c r="L171" s="35"/>
    </row>
    <row r="172" ht="15.75" customHeight="1">
      <c r="A172" s="49"/>
      <c r="L172" s="35"/>
    </row>
    <row r="173" ht="15.75" customHeight="1">
      <c r="A173" s="49"/>
      <c r="L173" s="35"/>
    </row>
    <row r="174" ht="15.75" customHeight="1">
      <c r="A174" s="49"/>
      <c r="L174" s="35"/>
    </row>
    <row r="175" ht="15.75" customHeight="1">
      <c r="A175" s="49"/>
      <c r="L175" s="35"/>
    </row>
    <row r="176" ht="15.75" customHeight="1">
      <c r="A176" s="49"/>
      <c r="L176" s="35"/>
    </row>
    <row r="177" ht="15.75" customHeight="1">
      <c r="A177" s="49"/>
      <c r="L177" s="35"/>
    </row>
    <row r="178" ht="15.75" customHeight="1">
      <c r="A178" s="49"/>
      <c r="L178" s="35"/>
    </row>
    <row r="179" ht="15.75" customHeight="1">
      <c r="A179" s="49"/>
      <c r="L179" s="35"/>
    </row>
    <row r="180" ht="15.75" customHeight="1">
      <c r="A180" s="49"/>
      <c r="L180" s="35"/>
    </row>
    <row r="181" ht="15.75" customHeight="1">
      <c r="A181" s="49"/>
      <c r="L181" s="35"/>
    </row>
    <row r="182" ht="15.75" customHeight="1">
      <c r="A182" s="49"/>
      <c r="L182" s="35"/>
    </row>
    <row r="183" ht="15.75" customHeight="1">
      <c r="A183" s="49"/>
      <c r="L183" s="35"/>
    </row>
    <row r="184" ht="15.75" customHeight="1">
      <c r="A184" s="49"/>
      <c r="L184" s="35"/>
    </row>
    <row r="185" ht="15.75" customHeight="1">
      <c r="A185" s="49"/>
      <c r="L185" s="35"/>
    </row>
    <row r="186" ht="15.75" customHeight="1">
      <c r="A186" s="49"/>
      <c r="L186" s="35"/>
    </row>
    <row r="187" ht="15.75" customHeight="1">
      <c r="A187" s="49"/>
      <c r="L187" s="35"/>
    </row>
    <row r="188" ht="15.75" customHeight="1">
      <c r="A188" s="49"/>
      <c r="L188" s="35"/>
    </row>
    <row r="189" ht="15.75" customHeight="1">
      <c r="A189" s="49"/>
      <c r="L189" s="35"/>
    </row>
    <row r="190" ht="15.75" customHeight="1">
      <c r="A190" s="49"/>
      <c r="L190" s="35"/>
    </row>
    <row r="191" ht="15.75" customHeight="1">
      <c r="A191" s="49"/>
      <c r="L191" s="35"/>
    </row>
    <row r="192" ht="15.75" customHeight="1">
      <c r="A192" s="49"/>
      <c r="L192" s="35"/>
    </row>
    <row r="193" ht="15.75" customHeight="1">
      <c r="A193" s="49"/>
      <c r="L193" s="35"/>
    </row>
    <row r="194" ht="15.75" customHeight="1">
      <c r="A194" s="49"/>
      <c r="L194" s="35"/>
    </row>
    <row r="195" ht="15.75" customHeight="1">
      <c r="A195" s="49"/>
      <c r="L195" s="35"/>
    </row>
    <row r="196" ht="15.75" customHeight="1">
      <c r="A196" s="49"/>
      <c r="L196" s="35"/>
    </row>
    <row r="197" ht="15.75" customHeight="1">
      <c r="A197" s="49"/>
      <c r="L197" s="35"/>
    </row>
    <row r="198" ht="15.75" customHeight="1">
      <c r="A198" s="49"/>
      <c r="L198" s="35"/>
    </row>
    <row r="199" ht="15.75" customHeight="1">
      <c r="A199" s="49"/>
      <c r="L199" s="35"/>
    </row>
    <row r="200" ht="15.75" customHeight="1">
      <c r="A200" s="49"/>
      <c r="L200" s="35"/>
    </row>
    <row r="201" ht="15.75" customHeight="1">
      <c r="A201" s="49"/>
      <c r="L201" s="35"/>
    </row>
    <row r="202" ht="15.75" customHeight="1">
      <c r="A202" s="49"/>
      <c r="L202" s="35"/>
    </row>
    <row r="203" ht="15.75" customHeight="1">
      <c r="A203" s="49"/>
      <c r="L203" s="35"/>
    </row>
    <row r="204" ht="15.75" customHeight="1">
      <c r="A204" s="49"/>
      <c r="L204" s="35"/>
    </row>
    <row r="205" ht="15.75" customHeight="1">
      <c r="A205" s="49"/>
      <c r="L205" s="35"/>
    </row>
    <row r="206" ht="15.75" customHeight="1">
      <c r="A206" s="49"/>
      <c r="L206" s="35"/>
    </row>
    <row r="207" ht="15.75" customHeight="1">
      <c r="A207" s="49"/>
      <c r="L207" s="35"/>
    </row>
    <row r="208" ht="15.75" customHeight="1">
      <c r="A208" s="49"/>
      <c r="L208" s="35"/>
    </row>
    <row r="209" ht="15.75" customHeight="1">
      <c r="A209" s="49"/>
      <c r="L209" s="35"/>
    </row>
    <row r="210" ht="15.75" customHeight="1">
      <c r="A210" s="49"/>
      <c r="L210" s="35"/>
    </row>
    <row r="211" ht="15.75" customHeight="1">
      <c r="A211" s="49"/>
      <c r="L211" s="35"/>
    </row>
    <row r="212" ht="15.75" customHeight="1">
      <c r="A212" s="49"/>
      <c r="L212" s="35"/>
    </row>
    <row r="213" ht="15.75" customHeight="1">
      <c r="A213" s="49"/>
      <c r="L213" s="35"/>
    </row>
    <row r="214" ht="15.75" customHeight="1">
      <c r="A214" s="49"/>
      <c r="L214" s="35"/>
    </row>
    <row r="215" ht="15.75" customHeight="1">
      <c r="A215" s="49"/>
      <c r="L215" s="35"/>
    </row>
    <row r="216" ht="15.75" customHeight="1">
      <c r="A216" s="49"/>
      <c r="L216" s="35"/>
    </row>
    <row r="217" ht="15.75" customHeight="1">
      <c r="A217" s="49"/>
      <c r="L217" s="35"/>
    </row>
    <row r="218" ht="15.75" customHeight="1">
      <c r="A218" s="49"/>
      <c r="L218" s="35"/>
    </row>
    <row r="219" ht="15.75" customHeight="1">
      <c r="A219" s="49"/>
      <c r="L219" s="35"/>
    </row>
    <row r="220" ht="15.75" customHeight="1">
      <c r="A220" s="49"/>
      <c r="L220" s="35"/>
    </row>
    <row r="221" ht="15.75" customHeight="1">
      <c r="A221" s="49"/>
      <c r="L221" s="35"/>
    </row>
    <row r="222" ht="15.75" customHeight="1">
      <c r="A222" s="49"/>
      <c r="L222" s="35"/>
    </row>
    <row r="223" ht="15.75" customHeight="1">
      <c r="A223" s="49"/>
      <c r="L223" s="35"/>
    </row>
    <row r="224" ht="15.75" customHeight="1">
      <c r="A224" s="49"/>
      <c r="L224" s="35"/>
    </row>
    <row r="225" ht="15.75" customHeight="1">
      <c r="A225" s="49"/>
      <c r="L225" s="35"/>
    </row>
    <row r="226" ht="15.75" customHeight="1">
      <c r="A226" s="49"/>
      <c r="L226" s="35"/>
    </row>
    <row r="227" ht="15.75" customHeight="1">
      <c r="A227" s="49"/>
      <c r="L227" s="35"/>
    </row>
    <row r="228" ht="15.75" customHeight="1">
      <c r="A228" s="49"/>
      <c r="L228" s="35"/>
    </row>
    <row r="229" ht="15.75" customHeight="1">
      <c r="A229" s="49"/>
      <c r="L229" s="35"/>
    </row>
    <row r="230" ht="15.75" customHeight="1">
      <c r="A230" s="49"/>
      <c r="L230" s="35"/>
    </row>
    <row r="231" ht="15.75" customHeight="1">
      <c r="A231" s="49"/>
      <c r="L231" s="35"/>
    </row>
    <row r="232" ht="15.75" customHeight="1">
      <c r="A232" s="49"/>
      <c r="L232" s="35"/>
    </row>
    <row r="233" ht="15.75" customHeight="1">
      <c r="A233" s="49"/>
      <c r="L233" s="35"/>
    </row>
    <row r="234" ht="15.75" customHeight="1">
      <c r="A234" s="49"/>
      <c r="L234" s="35"/>
    </row>
    <row r="235" ht="15.75" customHeight="1">
      <c r="A235" s="49"/>
      <c r="L235" s="35"/>
    </row>
    <row r="236" ht="15.75" customHeight="1">
      <c r="A236" s="49"/>
      <c r="L236" s="35"/>
    </row>
    <row r="237" ht="15.75" customHeight="1">
      <c r="A237" s="49"/>
      <c r="L237" s="35"/>
    </row>
    <row r="238" ht="15.75" customHeight="1">
      <c r="A238" s="49"/>
      <c r="L238" s="35"/>
    </row>
    <row r="239" ht="15.75" customHeight="1">
      <c r="A239" s="49"/>
      <c r="L239" s="35"/>
    </row>
    <row r="240" ht="15.75" customHeight="1">
      <c r="A240" s="49"/>
      <c r="L240" s="35"/>
    </row>
    <row r="241" ht="15.75" customHeight="1">
      <c r="A241" s="49"/>
      <c r="L241" s="35"/>
    </row>
    <row r="242" ht="15.75" customHeight="1">
      <c r="A242" s="49"/>
      <c r="L242" s="35"/>
    </row>
    <row r="243" ht="15.75" customHeight="1">
      <c r="A243" s="49"/>
      <c r="L243" s="35"/>
    </row>
    <row r="244" ht="15.75" customHeight="1">
      <c r="A244" s="49"/>
      <c r="L244" s="35"/>
    </row>
    <row r="245" ht="15.75" customHeight="1">
      <c r="A245" s="49"/>
      <c r="L245" s="35"/>
    </row>
    <row r="246" ht="15.75" customHeight="1">
      <c r="A246" s="49"/>
      <c r="L246" s="35"/>
    </row>
    <row r="247" ht="15.75" customHeight="1">
      <c r="A247" s="49"/>
      <c r="L247" s="35"/>
    </row>
    <row r="248" ht="15.75" customHeight="1">
      <c r="A248" s="49"/>
      <c r="L248" s="35"/>
    </row>
    <row r="249" ht="15.75" customHeight="1">
      <c r="A249" s="49"/>
      <c r="L249" s="35"/>
    </row>
    <row r="250" ht="15.75" customHeight="1">
      <c r="A250" s="49"/>
      <c r="L250" s="35"/>
    </row>
    <row r="251" ht="15.75" customHeight="1">
      <c r="A251" s="49"/>
      <c r="L251" s="35"/>
    </row>
    <row r="252" ht="15.75" customHeight="1">
      <c r="A252" s="49"/>
      <c r="L252" s="35"/>
    </row>
    <row r="253" ht="15.75" customHeight="1">
      <c r="A253" s="49"/>
      <c r="L253" s="35"/>
    </row>
    <row r="254" ht="15.75" customHeight="1">
      <c r="A254" s="49"/>
      <c r="L254" s="35"/>
    </row>
    <row r="255" ht="15.75" customHeight="1">
      <c r="A255" s="49"/>
      <c r="L255" s="35"/>
    </row>
    <row r="256" ht="15.75" customHeight="1">
      <c r="A256" s="49"/>
      <c r="L256" s="35"/>
    </row>
    <row r="257" ht="15.75" customHeight="1">
      <c r="A257" s="49"/>
      <c r="L257" s="35"/>
    </row>
    <row r="258" ht="15.75" customHeight="1">
      <c r="A258" s="49"/>
      <c r="L258" s="35"/>
    </row>
    <row r="259" ht="15.75" customHeight="1">
      <c r="A259" s="49"/>
      <c r="L259" s="35"/>
    </row>
    <row r="260" ht="15.75" customHeight="1">
      <c r="A260" s="49"/>
      <c r="L260" s="35"/>
    </row>
    <row r="261" ht="15.75" customHeight="1">
      <c r="A261" s="49"/>
      <c r="L261" s="35"/>
    </row>
    <row r="262" ht="15.75" customHeight="1">
      <c r="A262" s="49"/>
      <c r="L262" s="35"/>
    </row>
    <row r="263" ht="15.75" customHeight="1">
      <c r="A263" s="49"/>
      <c r="L263" s="35"/>
    </row>
    <row r="264" ht="15.75" customHeight="1">
      <c r="A264" s="49"/>
      <c r="L264" s="35"/>
    </row>
    <row r="265" ht="15.75" customHeight="1">
      <c r="A265" s="49"/>
      <c r="L265" s="35"/>
    </row>
    <row r="266" ht="15.75" customHeight="1">
      <c r="A266" s="49"/>
      <c r="L266" s="35"/>
    </row>
    <row r="267" ht="15.75" customHeight="1">
      <c r="A267" s="49"/>
      <c r="L267" s="35"/>
    </row>
    <row r="268" ht="15.75" customHeight="1">
      <c r="A268" s="49"/>
      <c r="L268" s="35"/>
    </row>
    <row r="269" ht="15.75" customHeight="1">
      <c r="A269" s="49"/>
      <c r="L269" s="35"/>
    </row>
    <row r="270" ht="15.75" customHeight="1">
      <c r="A270" s="49"/>
      <c r="L270" s="35"/>
    </row>
    <row r="271" ht="15.75" customHeight="1">
      <c r="A271" s="49"/>
      <c r="L271" s="35"/>
    </row>
    <row r="272" ht="15.75" customHeight="1">
      <c r="A272" s="49"/>
      <c r="L272" s="35"/>
    </row>
    <row r="273" ht="15.75" customHeight="1">
      <c r="A273" s="49"/>
      <c r="L273" s="35"/>
    </row>
    <row r="274" ht="15.75" customHeight="1">
      <c r="A274" s="49"/>
      <c r="L274" s="35"/>
    </row>
    <row r="275" ht="15.75" customHeight="1">
      <c r="A275" s="49"/>
      <c r="L275" s="35"/>
    </row>
    <row r="276" ht="15.75" customHeight="1">
      <c r="A276" s="49"/>
      <c r="L276" s="35"/>
    </row>
    <row r="277" ht="15.75" customHeight="1">
      <c r="A277" s="49"/>
      <c r="L277" s="35"/>
    </row>
    <row r="278" ht="15.75" customHeight="1">
      <c r="A278" s="49"/>
      <c r="L278" s="35"/>
    </row>
    <row r="279" ht="15.75" customHeight="1">
      <c r="A279" s="49"/>
      <c r="L279" s="35"/>
    </row>
    <row r="280" ht="15.75" customHeight="1">
      <c r="A280" s="49"/>
      <c r="L280" s="35"/>
    </row>
    <row r="281" ht="15.75" customHeight="1">
      <c r="A281" s="49"/>
      <c r="L281" s="35"/>
    </row>
    <row r="282" ht="15.75" customHeight="1">
      <c r="A282" s="49"/>
      <c r="L282" s="35"/>
    </row>
    <row r="283" ht="15.75" customHeight="1">
      <c r="A283" s="49"/>
      <c r="L283" s="35"/>
    </row>
    <row r="284" ht="15.75" customHeight="1">
      <c r="A284" s="49"/>
      <c r="L284" s="35"/>
    </row>
    <row r="285" ht="15.75" customHeight="1">
      <c r="A285" s="49"/>
      <c r="L285" s="35"/>
    </row>
    <row r="286" ht="15.75" customHeight="1">
      <c r="A286" s="49"/>
      <c r="L286" s="35"/>
    </row>
    <row r="287" ht="15.75" customHeight="1">
      <c r="A287" s="49"/>
      <c r="L287" s="35"/>
    </row>
    <row r="288" ht="15.75" customHeight="1">
      <c r="A288" s="49"/>
      <c r="L288" s="35"/>
    </row>
    <row r="289" ht="15.75" customHeight="1">
      <c r="A289" s="49"/>
      <c r="L289" s="35"/>
    </row>
    <row r="290" ht="15.75" customHeight="1">
      <c r="A290" s="49"/>
      <c r="L290" s="35"/>
    </row>
    <row r="291" ht="15.75" customHeight="1">
      <c r="A291" s="49"/>
      <c r="L291" s="35"/>
    </row>
    <row r="292" ht="15.75" customHeight="1">
      <c r="A292" s="49"/>
      <c r="L292" s="35"/>
    </row>
    <row r="293" ht="15.75" customHeight="1">
      <c r="A293" s="49"/>
      <c r="L293" s="35"/>
    </row>
    <row r="294" ht="15.75" customHeight="1">
      <c r="A294" s="49"/>
      <c r="L294" s="35"/>
    </row>
    <row r="295" ht="15.75" customHeight="1">
      <c r="A295" s="49"/>
      <c r="L295" s="35"/>
    </row>
    <row r="296" ht="15.75" customHeight="1">
      <c r="A296" s="49"/>
      <c r="L296" s="35"/>
    </row>
    <row r="297" ht="15.75" customHeight="1">
      <c r="A297" s="49"/>
      <c r="L297" s="35"/>
    </row>
    <row r="298" ht="15.75" customHeight="1">
      <c r="A298" s="49"/>
      <c r="L298" s="35"/>
    </row>
    <row r="299" ht="15.75" customHeight="1">
      <c r="A299" s="49"/>
      <c r="L299" s="35"/>
    </row>
    <row r="300" ht="15.75" customHeight="1">
      <c r="A300" s="49"/>
      <c r="L300" s="35"/>
    </row>
    <row r="301" ht="15.75" customHeight="1">
      <c r="A301" s="49"/>
      <c r="L301" s="35"/>
    </row>
    <row r="302" ht="15.75" customHeight="1">
      <c r="A302" s="49"/>
      <c r="L302" s="35"/>
    </row>
    <row r="303" ht="15.75" customHeight="1">
      <c r="A303" s="49"/>
      <c r="L303" s="35"/>
    </row>
    <row r="304" ht="15.75" customHeight="1">
      <c r="A304" s="49"/>
      <c r="L304" s="35"/>
    </row>
    <row r="305" ht="15.75" customHeight="1">
      <c r="A305" s="49"/>
      <c r="L305" s="35"/>
    </row>
    <row r="306" ht="15.75" customHeight="1">
      <c r="A306" s="49"/>
      <c r="L306" s="35"/>
    </row>
    <row r="307" ht="15.75" customHeight="1">
      <c r="A307" s="49"/>
      <c r="L307" s="35"/>
    </row>
    <row r="308" ht="15.75" customHeight="1">
      <c r="A308" s="49"/>
      <c r="L308" s="35"/>
    </row>
    <row r="309" ht="15.75" customHeight="1">
      <c r="A309" s="49"/>
      <c r="L309" s="35"/>
    </row>
    <row r="310" ht="15.75" customHeight="1">
      <c r="A310" s="49"/>
      <c r="L310" s="35"/>
    </row>
    <row r="311" ht="15.75" customHeight="1">
      <c r="A311" s="49"/>
      <c r="L311" s="35"/>
    </row>
    <row r="312" ht="15.75" customHeight="1">
      <c r="A312" s="49"/>
      <c r="L312" s="35"/>
    </row>
    <row r="313" ht="15.75" customHeight="1">
      <c r="A313" s="49"/>
      <c r="L313" s="35"/>
    </row>
    <row r="314" ht="15.75" customHeight="1">
      <c r="A314" s="49"/>
      <c r="L314" s="35"/>
    </row>
    <row r="315" ht="15.75" customHeight="1">
      <c r="A315" s="49"/>
      <c r="L315" s="35"/>
    </row>
    <row r="316" ht="15.75" customHeight="1">
      <c r="A316" s="49"/>
      <c r="L316" s="35"/>
    </row>
    <row r="317" ht="15.75" customHeight="1">
      <c r="A317" s="49"/>
      <c r="L317" s="35"/>
    </row>
    <row r="318" ht="15.75" customHeight="1">
      <c r="A318" s="49"/>
      <c r="L318" s="35"/>
    </row>
    <row r="319" ht="15.75" customHeight="1">
      <c r="A319" s="49"/>
      <c r="L319" s="35"/>
    </row>
    <row r="320" ht="15.75" customHeight="1">
      <c r="A320" s="49"/>
      <c r="L320" s="35"/>
    </row>
    <row r="321" ht="15.75" customHeight="1">
      <c r="A321" s="49"/>
      <c r="L321" s="35"/>
    </row>
    <row r="322" ht="15.75" customHeight="1">
      <c r="A322" s="49"/>
      <c r="L322" s="35"/>
    </row>
    <row r="323" ht="15.75" customHeight="1">
      <c r="A323" s="49"/>
      <c r="L323" s="35"/>
    </row>
    <row r="324" ht="15.75" customHeight="1">
      <c r="A324" s="49"/>
      <c r="L324" s="35"/>
    </row>
    <row r="325" ht="15.75" customHeight="1">
      <c r="A325" s="49"/>
      <c r="L325" s="35"/>
    </row>
    <row r="326" ht="15.75" customHeight="1">
      <c r="A326" s="49"/>
      <c r="L326" s="35"/>
    </row>
    <row r="327" ht="15.75" customHeight="1">
      <c r="A327" s="49"/>
      <c r="L327" s="35"/>
    </row>
    <row r="328" ht="15.75" customHeight="1">
      <c r="A328" s="49"/>
      <c r="L328" s="35"/>
    </row>
    <row r="329" ht="15.75" customHeight="1">
      <c r="A329" s="49"/>
      <c r="L329" s="35"/>
    </row>
    <row r="330" ht="15.75" customHeight="1">
      <c r="A330" s="49"/>
      <c r="L330" s="35"/>
    </row>
    <row r="331" ht="15.75" customHeight="1">
      <c r="A331" s="49"/>
      <c r="L331" s="35"/>
    </row>
    <row r="332" ht="15.75" customHeight="1">
      <c r="A332" s="49"/>
      <c r="L332" s="35"/>
    </row>
    <row r="333" ht="15.75" customHeight="1">
      <c r="A333" s="49"/>
      <c r="L333" s="35"/>
    </row>
    <row r="334" ht="15.75" customHeight="1">
      <c r="A334" s="49"/>
      <c r="L334" s="35"/>
    </row>
    <row r="335" ht="15.75" customHeight="1">
      <c r="A335" s="49"/>
      <c r="L335" s="35"/>
    </row>
    <row r="336" ht="15.75" customHeight="1">
      <c r="A336" s="49"/>
      <c r="L336" s="35"/>
    </row>
    <row r="337" ht="15.75" customHeight="1">
      <c r="A337" s="49"/>
      <c r="L337" s="35"/>
    </row>
    <row r="338" ht="15.75" customHeight="1">
      <c r="A338" s="49"/>
      <c r="L338" s="35"/>
    </row>
    <row r="339" ht="15.75" customHeight="1">
      <c r="A339" s="49"/>
      <c r="L339" s="35"/>
    </row>
    <row r="340" ht="15.75" customHeight="1">
      <c r="A340" s="49"/>
      <c r="L340" s="35"/>
    </row>
    <row r="341" ht="15.75" customHeight="1">
      <c r="A341" s="49"/>
      <c r="L341" s="35"/>
    </row>
    <row r="342" ht="15.75" customHeight="1">
      <c r="A342" s="49"/>
      <c r="L342" s="35"/>
    </row>
    <row r="343" ht="15.75" customHeight="1">
      <c r="A343" s="49"/>
      <c r="L343" s="35"/>
    </row>
    <row r="344" ht="15.75" customHeight="1">
      <c r="A344" s="49"/>
      <c r="L344" s="35"/>
    </row>
    <row r="345" ht="15.75" customHeight="1">
      <c r="A345" s="49"/>
      <c r="L345" s="35"/>
    </row>
    <row r="346" ht="15.75" customHeight="1">
      <c r="A346" s="49"/>
      <c r="L346" s="35"/>
    </row>
    <row r="347" ht="15.75" customHeight="1">
      <c r="A347" s="49"/>
      <c r="L347" s="35"/>
    </row>
    <row r="348" ht="15.75" customHeight="1">
      <c r="A348" s="49"/>
      <c r="L348" s="35"/>
    </row>
    <row r="349" ht="15.75" customHeight="1">
      <c r="A349" s="49"/>
      <c r="L349" s="35"/>
    </row>
    <row r="350" ht="15.75" customHeight="1">
      <c r="A350" s="49"/>
      <c r="L350" s="35"/>
    </row>
    <row r="351" ht="15.75" customHeight="1">
      <c r="A351" s="49"/>
      <c r="L351" s="35"/>
    </row>
    <row r="352" ht="15.75" customHeight="1">
      <c r="A352" s="49"/>
      <c r="L352" s="35"/>
    </row>
    <row r="353" ht="15.75" customHeight="1">
      <c r="A353" s="49"/>
      <c r="L353" s="35"/>
    </row>
    <row r="354" ht="15.75" customHeight="1">
      <c r="A354" s="49"/>
      <c r="L354" s="35"/>
    </row>
    <row r="355" ht="15.75" customHeight="1">
      <c r="A355" s="49"/>
      <c r="L355" s="35"/>
    </row>
    <row r="356" ht="15.75" customHeight="1">
      <c r="A356" s="49"/>
      <c r="L356" s="35"/>
    </row>
    <row r="357" ht="15.75" customHeight="1">
      <c r="A357" s="49"/>
      <c r="L357" s="35"/>
    </row>
    <row r="358" ht="15.75" customHeight="1">
      <c r="A358" s="49"/>
      <c r="L358" s="35"/>
    </row>
    <row r="359" ht="15.75" customHeight="1">
      <c r="A359" s="49"/>
      <c r="L359" s="35"/>
    </row>
    <row r="360" ht="15.75" customHeight="1">
      <c r="A360" s="49"/>
      <c r="L360" s="35"/>
    </row>
    <row r="361" ht="15.75" customHeight="1">
      <c r="A361" s="49"/>
      <c r="L361" s="35"/>
    </row>
    <row r="362" ht="15.75" customHeight="1">
      <c r="A362" s="49"/>
      <c r="L362" s="35"/>
    </row>
    <row r="363" ht="15.75" customHeight="1">
      <c r="A363" s="49"/>
      <c r="L363" s="35"/>
    </row>
    <row r="364" ht="15.75" customHeight="1">
      <c r="A364" s="49"/>
      <c r="L364" s="35"/>
    </row>
    <row r="365" ht="15.75" customHeight="1">
      <c r="A365" s="49"/>
      <c r="L365" s="35"/>
    </row>
    <row r="366" ht="15.75" customHeight="1">
      <c r="A366" s="49"/>
      <c r="L366" s="35"/>
    </row>
    <row r="367" ht="15.75" customHeight="1">
      <c r="A367" s="49"/>
      <c r="L367" s="35"/>
    </row>
    <row r="368" ht="15.75" customHeight="1">
      <c r="A368" s="49"/>
      <c r="L368" s="35"/>
    </row>
    <row r="369" ht="15.75" customHeight="1">
      <c r="A369" s="49"/>
      <c r="L369" s="35"/>
    </row>
    <row r="370" ht="15.75" customHeight="1">
      <c r="A370" s="49"/>
      <c r="L370" s="35"/>
    </row>
    <row r="371" ht="15.75" customHeight="1">
      <c r="A371" s="49"/>
      <c r="L371" s="35"/>
    </row>
    <row r="372" ht="15.75" customHeight="1">
      <c r="A372" s="49"/>
      <c r="L372" s="35"/>
    </row>
    <row r="373" ht="15.75" customHeight="1">
      <c r="A373" s="49"/>
      <c r="L373" s="35"/>
    </row>
    <row r="374" ht="15.75" customHeight="1">
      <c r="A374" s="49"/>
      <c r="L374" s="35"/>
    </row>
    <row r="375" ht="15.75" customHeight="1">
      <c r="A375" s="49"/>
      <c r="L375" s="35"/>
    </row>
    <row r="376" ht="15.75" customHeight="1">
      <c r="A376" s="49"/>
      <c r="L376" s="35"/>
    </row>
    <row r="377" ht="15.75" customHeight="1">
      <c r="A377" s="49"/>
      <c r="L377" s="35"/>
    </row>
    <row r="378" ht="15.75" customHeight="1">
      <c r="A378" s="49"/>
      <c r="L378" s="35"/>
    </row>
    <row r="379" ht="15.75" customHeight="1">
      <c r="A379" s="49"/>
      <c r="L379" s="35"/>
    </row>
    <row r="380" ht="15.75" customHeight="1">
      <c r="A380" s="49"/>
      <c r="L380" s="35"/>
    </row>
    <row r="381" ht="15.75" customHeight="1">
      <c r="A381" s="49"/>
      <c r="L381" s="35"/>
    </row>
    <row r="382" ht="15.75" customHeight="1">
      <c r="A382" s="49"/>
      <c r="L382" s="35"/>
    </row>
    <row r="383" ht="15.75" customHeight="1">
      <c r="A383" s="49"/>
      <c r="L383" s="35"/>
    </row>
    <row r="384" ht="15.75" customHeight="1">
      <c r="A384" s="49"/>
      <c r="L384" s="35"/>
    </row>
    <row r="385" ht="15.75" customHeight="1">
      <c r="A385" s="49"/>
      <c r="L385" s="35"/>
    </row>
    <row r="386" ht="15.75" customHeight="1">
      <c r="A386" s="49"/>
      <c r="L386" s="35"/>
    </row>
    <row r="387" ht="15.75" customHeight="1">
      <c r="A387" s="49"/>
      <c r="L387" s="35"/>
    </row>
    <row r="388" ht="15.75" customHeight="1">
      <c r="A388" s="49"/>
      <c r="L388" s="35"/>
    </row>
    <row r="389" ht="15.75" customHeight="1">
      <c r="A389" s="49"/>
      <c r="L389" s="35"/>
    </row>
    <row r="390" ht="15.75" customHeight="1">
      <c r="A390" s="49"/>
      <c r="L390" s="35"/>
    </row>
    <row r="391" ht="15.75" customHeight="1">
      <c r="A391" s="49"/>
      <c r="L391" s="35"/>
    </row>
    <row r="392" ht="15.75" customHeight="1">
      <c r="A392" s="49"/>
      <c r="L392" s="35"/>
    </row>
    <row r="393" ht="15.75" customHeight="1">
      <c r="A393" s="49"/>
      <c r="L393" s="35"/>
    </row>
    <row r="394" ht="15.75" customHeight="1">
      <c r="A394" s="49"/>
      <c r="L394" s="35"/>
    </row>
    <row r="395" ht="15.75" customHeight="1">
      <c r="A395" s="49"/>
      <c r="L395" s="35"/>
    </row>
    <row r="396" ht="15.75" customHeight="1">
      <c r="A396" s="49"/>
      <c r="L396" s="35"/>
    </row>
    <row r="397" ht="15.75" customHeight="1">
      <c r="A397" s="49"/>
      <c r="L397" s="35"/>
    </row>
    <row r="398" ht="15.75" customHeight="1">
      <c r="A398" s="49"/>
      <c r="L398" s="35"/>
    </row>
    <row r="399" ht="15.75" customHeight="1">
      <c r="A399" s="49"/>
      <c r="L399" s="35"/>
    </row>
    <row r="400" ht="15.75" customHeight="1">
      <c r="A400" s="49"/>
      <c r="L400" s="35"/>
    </row>
    <row r="401" ht="15.75" customHeight="1">
      <c r="A401" s="49"/>
      <c r="L401" s="35"/>
    </row>
    <row r="402" ht="15.75" customHeight="1">
      <c r="A402" s="49"/>
      <c r="L402" s="35"/>
    </row>
    <row r="403" ht="15.75" customHeight="1">
      <c r="A403" s="49"/>
      <c r="L403" s="35"/>
    </row>
    <row r="404" ht="15.75" customHeight="1">
      <c r="A404" s="49"/>
      <c r="L404" s="35"/>
    </row>
    <row r="405" ht="15.75" customHeight="1">
      <c r="A405" s="49"/>
      <c r="L405" s="35"/>
    </row>
    <row r="406" ht="15.75" customHeight="1">
      <c r="A406" s="49"/>
      <c r="L406" s="35"/>
    </row>
    <row r="407" ht="15.75" customHeight="1">
      <c r="A407" s="49"/>
      <c r="L407" s="35"/>
    </row>
    <row r="408" ht="15.75" customHeight="1">
      <c r="A408" s="49"/>
      <c r="L408" s="35"/>
    </row>
    <row r="409" ht="15.75" customHeight="1">
      <c r="A409" s="49"/>
      <c r="L409" s="35"/>
    </row>
    <row r="410" ht="15.75" customHeight="1">
      <c r="A410" s="49"/>
      <c r="L410" s="35"/>
    </row>
    <row r="411" ht="15.75" customHeight="1">
      <c r="A411" s="49"/>
      <c r="L411" s="35"/>
    </row>
    <row r="412" ht="15.75" customHeight="1">
      <c r="A412" s="49"/>
      <c r="L412" s="35"/>
    </row>
    <row r="413" ht="15.75" customHeight="1">
      <c r="A413" s="49"/>
      <c r="L413" s="35"/>
    </row>
    <row r="414" ht="15.75" customHeight="1">
      <c r="A414" s="49"/>
      <c r="L414" s="35"/>
    </row>
    <row r="415" ht="15.75" customHeight="1">
      <c r="A415" s="49"/>
      <c r="L415" s="35"/>
    </row>
    <row r="416" ht="15.75" customHeight="1">
      <c r="A416" s="49"/>
      <c r="L416" s="35"/>
    </row>
    <row r="417" ht="15.75" customHeight="1">
      <c r="A417" s="49"/>
      <c r="L417" s="35"/>
    </row>
    <row r="418" ht="15.75" customHeight="1">
      <c r="A418" s="49"/>
      <c r="L418" s="35"/>
    </row>
    <row r="419" ht="15.75" customHeight="1">
      <c r="A419" s="49"/>
      <c r="L419" s="35"/>
    </row>
    <row r="420" ht="15.75" customHeight="1">
      <c r="A420" s="49"/>
      <c r="L420" s="35"/>
    </row>
    <row r="421" ht="15.75" customHeight="1">
      <c r="A421" s="49"/>
      <c r="L421" s="35"/>
    </row>
    <row r="422" ht="15.75" customHeight="1">
      <c r="A422" s="49"/>
      <c r="L422" s="35"/>
    </row>
    <row r="423" ht="15.75" customHeight="1">
      <c r="A423" s="49"/>
      <c r="L423" s="35"/>
    </row>
    <row r="424" ht="15.75" customHeight="1">
      <c r="A424" s="49"/>
      <c r="L424" s="35"/>
    </row>
    <row r="425" ht="15.75" customHeight="1">
      <c r="A425" s="49"/>
      <c r="L425" s="35"/>
    </row>
    <row r="426" ht="15.75" customHeight="1">
      <c r="A426" s="49"/>
      <c r="L426" s="35"/>
    </row>
    <row r="427" ht="15.75" customHeight="1">
      <c r="A427" s="49"/>
      <c r="L427" s="35"/>
    </row>
    <row r="428" ht="15.75" customHeight="1">
      <c r="A428" s="49"/>
      <c r="L428" s="35"/>
    </row>
    <row r="429" ht="15.75" customHeight="1">
      <c r="A429" s="49"/>
      <c r="L429" s="35"/>
    </row>
    <row r="430" ht="15.75" customHeight="1">
      <c r="A430" s="49"/>
      <c r="L430" s="35"/>
    </row>
    <row r="431" ht="15.75" customHeight="1">
      <c r="A431" s="49"/>
      <c r="L431" s="35"/>
    </row>
    <row r="432" ht="15.75" customHeight="1">
      <c r="A432" s="49"/>
      <c r="L432" s="35"/>
    </row>
    <row r="433" ht="15.75" customHeight="1">
      <c r="A433" s="49"/>
      <c r="L433" s="35"/>
    </row>
    <row r="434" ht="15.75" customHeight="1">
      <c r="A434" s="49"/>
      <c r="L434" s="35"/>
    </row>
    <row r="435" ht="15.75" customHeight="1">
      <c r="A435" s="49"/>
      <c r="L435" s="35"/>
    </row>
    <row r="436" ht="15.75" customHeight="1">
      <c r="A436" s="49"/>
      <c r="L436" s="35"/>
    </row>
    <row r="437" ht="15.75" customHeight="1">
      <c r="A437" s="49"/>
      <c r="L437" s="35"/>
    </row>
    <row r="438" ht="15.75" customHeight="1">
      <c r="A438" s="49"/>
      <c r="L438" s="35"/>
    </row>
    <row r="439" ht="15.75" customHeight="1">
      <c r="A439" s="49"/>
      <c r="L439" s="35"/>
    </row>
    <row r="440" ht="15.75" customHeight="1">
      <c r="A440" s="49"/>
      <c r="L440" s="35"/>
    </row>
    <row r="441" ht="15.75" customHeight="1">
      <c r="A441" s="49"/>
      <c r="L441" s="35"/>
    </row>
    <row r="442" ht="15.75" customHeight="1">
      <c r="A442" s="49"/>
      <c r="L442" s="35"/>
    </row>
    <row r="443" ht="15.75" customHeight="1">
      <c r="A443" s="49"/>
      <c r="L443" s="35"/>
    </row>
    <row r="444" ht="15.75" customHeight="1">
      <c r="A444" s="49"/>
      <c r="L444" s="35"/>
    </row>
    <row r="445" ht="15.75" customHeight="1">
      <c r="A445" s="49"/>
      <c r="L445" s="35"/>
    </row>
    <row r="446" ht="15.75" customHeight="1">
      <c r="A446" s="49"/>
      <c r="L446" s="35"/>
    </row>
    <row r="447" ht="15.75" customHeight="1">
      <c r="A447" s="49"/>
      <c r="L447" s="35"/>
    </row>
    <row r="448" ht="15.75" customHeight="1">
      <c r="A448" s="49"/>
      <c r="L448" s="35"/>
    </row>
    <row r="449" ht="15.75" customHeight="1">
      <c r="A449" s="49"/>
      <c r="L449" s="35"/>
    </row>
    <row r="450" ht="15.75" customHeight="1">
      <c r="A450" s="49"/>
      <c r="L450" s="35"/>
    </row>
    <row r="451" ht="15.75" customHeight="1">
      <c r="A451" s="49"/>
      <c r="L451" s="35"/>
    </row>
    <row r="452" ht="15.75" customHeight="1">
      <c r="A452" s="49"/>
      <c r="L452" s="35"/>
    </row>
    <row r="453" ht="15.75" customHeight="1">
      <c r="A453" s="49"/>
      <c r="L453" s="35"/>
    </row>
    <row r="454" ht="15.75" customHeight="1">
      <c r="A454" s="49"/>
      <c r="L454" s="35"/>
    </row>
    <row r="455" ht="15.75" customHeight="1">
      <c r="A455" s="49"/>
      <c r="L455" s="35"/>
    </row>
    <row r="456" ht="15.75" customHeight="1">
      <c r="A456" s="49"/>
      <c r="L456" s="35"/>
    </row>
    <row r="457" ht="15.75" customHeight="1">
      <c r="A457" s="49"/>
      <c r="L457" s="35"/>
    </row>
    <row r="458" ht="15.75" customHeight="1">
      <c r="A458" s="49"/>
      <c r="L458" s="35"/>
    </row>
    <row r="459" ht="15.75" customHeight="1">
      <c r="A459" s="49"/>
      <c r="L459" s="35"/>
    </row>
    <row r="460" ht="15.75" customHeight="1">
      <c r="A460" s="49"/>
      <c r="L460" s="35"/>
    </row>
    <row r="461" ht="15.75" customHeight="1">
      <c r="A461" s="49"/>
      <c r="L461" s="35"/>
    </row>
    <row r="462" ht="15.75" customHeight="1">
      <c r="A462" s="49"/>
      <c r="L462" s="35"/>
    </row>
    <row r="463" ht="15.75" customHeight="1">
      <c r="A463" s="49"/>
      <c r="L463" s="35"/>
    </row>
    <row r="464" ht="15.75" customHeight="1">
      <c r="A464" s="49"/>
      <c r="L464" s="35"/>
    </row>
    <row r="465" ht="15.75" customHeight="1">
      <c r="A465" s="49"/>
      <c r="L465" s="35"/>
    </row>
    <row r="466" ht="15.75" customHeight="1">
      <c r="A466" s="49"/>
      <c r="L466" s="35"/>
    </row>
    <row r="467" ht="15.75" customHeight="1">
      <c r="A467" s="49"/>
      <c r="L467" s="35"/>
    </row>
    <row r="468" ht="15.75" customHeight="1">
      <c r="A468" s="49"/>
      <c r="L468" s="35"/>
    </row>
    <row r="469" ht="15.75" customHeight="1">
      <c r="A469" s="49"/>
      <c r="L469" s="35"/>
    </row>
    <row r="470" ht="15.75" customHeight="1">
      <c r="A470" s="49"/>
      <c r="L470" s="35"/>
    </row>
    <row r="471" ht="15.75" customHeight="1">
      <c r="A471" s="49"/>
      <c r="L471" s="35"/>
    </row>
    <row r="472" ht="15.75" customHeight="1">
      <c r="A472" s="49"/>
      <c r="L472" s="35"/>
    </row>
    <row r="473" ht="15.75" customHeight="1">
      <c r="A473" s="49"/>
      <c r="L473" s="35"/>
    </row>
    <row r="474" ht="15.75" customHeight="1">
      <c r="A474" s="49"/>
      <c r="L474" s="35"/>
    </row>
    <row r="475" ht="15.75" customHeight="1">
      <c r="A475" s="49"/>
      <c r="L475" s="35"/>
    </row>
    <row r="476" ht="15.75" customHeight="1">
      <c r="A476" s="49"/>
      <c r="L476" s="35"/>
    </row>
    <row r="477" ht="15.75" customHeight="1">
      <c r="A477" s="49"/>
      <c r="L477" s="35"/>
    </row>
    <row r="478" ht="15.75" customHeight="1">
      <c r="A478" s="49"/>
      <c r="L478" s="35"/>
    </row>
    <row r="479" ht="15.75" customHeight="1">
      <c r="A479" s="49"/>
      <c r="L479" s="35"/>
    </row>
    <row r="480" ht="15.75" customHeight="1">
      <c r="A480" s="49"/>
      <c r="L480" s="35"/>
    </row>
    <row r="481" ht="15.75" customHeight="1">
      <c r="A481" s="49"/>
      <c r="L481" s="35"/>
    </row>
    <row r="482" ht="15.75" customHeight="1">
      <c r="A482" s="49"/>
      <c r="L482" s="35"/>
    </row>
    <row r="483" ht="15.75" customHeight="1">
      <c r="A483" s="49"/>
      <c r="L483" s="35"/>
    </row>
    <row r="484" ht="15.75" customHeight="1">
      <c r="A484" s="49"/>
      <c r="L484" s="35"/>
    </row>
    <row r="485" ht="15.75" customHeight="1">
      <c r="A485" s="49"/>
      <c r="L485" s="35"/>
    </row>
    <row r="486" ht="15.75" customHeight="1">
      <c r="A486" s="49"/>
      <c r="L486" s="35"/>
    </row>
    <row r="487" ht="15.75" customHeight="1">
      <c r="A487" s="49"/>
      <c r="L487" s="35"/>
    </row>
    <row r="488" ht="15.75" customHeight="1">
      <c r="A488" s="49"/>
      <c r="L488" s="35"/>
    </row>
    <row r="489" ht="15.75" customHeight="1">
      <c r="A489" s="49"/>
      <c r="L489" s="35"/>
    </row>
    <row r="490" ht="15.75" customHeight="1">
      <c r="A490" s="49"/>
      <c r="L490" s="35"/>
    </row>
    <row r="491" ht="15.75" customHeight="1">
      <c r="A491" s="49"/>
      <c r="L491" s="35"/>
    </row>
    <row r="492" ht="15.75" customHeight="1">
      <c r="A492" s="49"/>
      <c r="L492" s="35"/>
    </row>
    <row r="493" ht="15.75" customHeight="1">
      <c r="A493" s="49"/>
      <c r="L493" s="35"/>
    </row>
    <row r="494" ht="15.75" customHeight="1">
      <c r="A494" s="49"/>
      <c r="L494" s="35"/>
    </row>
    <row r="495" ht="15.75" customHeight="1">
      <c r="A495" s="49"/>
      <c r="L495" s="35"/>
    </row>
    <row r="496" ht="15.75" customHeight="1">
      <c r="A496" s="49"/>
      <c r="L496" s="35"/>
    </row>
    <row r="497" ht="15.75" customHeight="1">
      <c r="A497" s="49"/>
      <c r="L497" s="35"/>
    </row>
    <row r="498" ht="15.75" customHeight="1">
      <c r="A498" s="49"/>
      <c r="L498" s="35"/>
    </row>
    <row r="499" ht="15.75" customHeight="1">
      <c r="A499" s="49"/>
      <c r="L499" s="35"/>
    </row>
    <row r="500" ht="15.75" customHeight="1">
      <c r="A500" s="49"/>
      <c r="L500" s="35"/>
    </row>
    <row r="501" ht="15.75" customHeight="1">
      <c r="A501" s="49"/>
      <c r="L501" s="35"/>
    </row>
    <row r="502" ht="15.75" customHeight="1">
      <c r="A502" s="49"/>
      <c r="L502" s="35"/>
    </row>
    <row r="503" ht="15.75" customHeight="1">
      <c r="A503" s="49"/>
      <c r="L503" s="35"/>
    </row>
    <row r="504" ht="15.75" customHeight="1">
      <c r="A504" s="49"/>
      <c r="L504" s="35"/>
    </row>
    <row r="505" ht="15.75" customHeight="1">
      <c r="A505" s="49"/>
      <c r="L505" s="35"/>
    </row>
    <row r="506" ht="15.75" customHeight="1">
      <c r="A506" s="49"/>
      <c r="L506" s="35"/>
    </row>
    <row r="507" ht="15.75" customHeight="1">
      <c r="A507" s="49"/>
      <c r="L507" s="35"/>
    </row>
    <row r="508" ht="15.75" customHeight="1">
      <c r="A508" s="49"/>
      <c r="L508" s="35"/>
    </row>
    <row r="509" ht="15.75" customHeight="1">
      <c r="A509" s="49"/>
      <c r="L509" s="35"/>
    </row>
    <row r="510" ht="15.75" customHeight="1">
      <c r="A510" s="49"/>
      <c r="L510" s="35"/>
    </row>
    <row r="511" ht="15.75" customHeight="1">
      <c r="A511" s="49"/>
      <c r="L511" s="35"/>
    </row>
    <row r="512" ht="15.75" customHeight="1">
      <c r="A512" s="49"/>
      <c r="L512" s="35"/>
    </row>
    <row r="513" ht="15.75" customHeight="1">
      <c r="A513" s="49"/>
      <c r="L513" s="35"/>
    </row>
    <row r="514" ht="15.75" customHeight="1">
      <c r="A514" s="49"/>
      <c r="L514" s="35"/>
    </row>
    <row r="515" ht="15.75" customHeight="1">
      <c r="A515" s="49"/>
      <c r="L515" s="35"/>
    </row>
    <row r="516" ht="15.75" customHeight="1">
      <c r="A516" s="49"/>
      <c r="L516" s="35"/>
    </row>
    <row r="517" ht="15.75" customHeight="1">
      <c r="A517" s="49"/>
      <c r="L517" s="35"/>
    </row>
    <row r="518" ht="15.75" customHeight="1">
      <c r="A518" s="49"/>
      <c r="L518" s="35"/>
    </row>
    <row r="519" ht="15.75" customHeight="1">
      <c r="A519" s="49"/>
      <c r="L519" s="35"/>
    </row>
    <row r="520" ht="15.75" customHeight="1">
      <c r="A520" s="49"/>
      <c r="L520" s="35"/>
    </row>
    <row r="521" ht="15.75" customHeight="1">
      <c r="A521" s="49"/>
      <c r="L521" s="35"/>
    </row>
    <row r="522" ht="15.75" customHeight="1">
      <c r="A522" s="49"/>
      <c r="L522" s="35"/>
    </row>
    <row r="523" ht="15.75" customHeight="1">
      <c r="A523" s="49"/>
      <c r="L523" s="35"/>
    </row>
    <row r="524" ht="15.75" customHeight="1">
      <c r="A524" s="49"/>
      <c r="L524" s="35"/>
    </row>
    <row r="525" ht="15.75" customHeight="1">
      <c r="A525" s="49"/>
      <c r="L525" s="35"/>
    </row>
    <row r="526" ht="15.75" customHeight="1">
      <c r="A526" s="49"/>
      <c r="L526" s="35"/>
    </row>
    <row r="527" ht="15.75" customHeight="1">
      <c r="A527" s="49"/>
      <c r="L527" s="35"/>
    </row>
    <row r="528" ht="15.75" customHeight="1">
      <c r="A528" s="49"/>
      <c r="L528" s="35"/>
    </row>
    <row r="529" ht="15.75" customHeight="1">
      <c r="A529" s="49"/>
      <c r="L529" s="35"/>
    </row>
    <row r="530" ht="15.75" customHeight="1">
      <c r="A530" s="49"/>
      <c r="L530" s="35"/>
    </row>
    <row r="531" ht="15.75" customHeight="1">
      <c r="A531" s="49"/>
      <c r="L531" s="35"/>
    </row>
    <row r="532" ht="15.75" customHeight="1">
      <c r="A532" s="49"/>
      <c r="L532" s="35"/>
    </row>
    <row r="533" ht="15.75" customHeight="1">
      <c r="A533" s="49"/>
      <c r="L533" s="35"/>
    </row>
    <row r="534" ht="15.75" customHeight="1">
      <c r="A534" s="49"/>
      <c r="L534" s="35"/>
    </row>
    <row r="535" ht="15.75" customHeight="1">
      <c r="A535" s="49"/>
      <c r="L535" s="35"/>
    </row>
    <row r="536" ht="15.75" customHeight="1">
      <c r="A536" s="49"/>
      <c r="L536" s="35"/>
    </row>
    <row r="537" ht="15.75" customHeight="1">
      <c r="A537" s="49"/>
      <c r="L537" s="35"/>
    </row>
    <row r="538" ht="15.75" customHeight="1">
      <c r="A538" s="49"/>
      <c r="L538" s="35"/>
    </row>
    <row r="539" ht="15.75" customHeight="1">
      <c r="A539" s="49"/>
      <c r="L539" s="35"/>
    </row>
    <row r="540" ht="15.75" customHeight="1">
      <c r="A540" s="49"/>
      <c r="L540" s="35"/>
    </row>
    <row r="541" ht="15.75" customHeight="1">
      <c r="A541" s="49"/>
      <c r="L541" s="35"/>
    </row>
    <row r="542" ht="15.75" customHeight="1">
      <c r="A542" s="49"/>
      <c r="L542" s="35"/>
    </row>
    <row r="543" ht="15.75" customHeight="1">
      <c r="A543" s="49"/>
      <c r="L543" s="35"/>
    </row>
    <row r="544" ht="15.75" customHeight="1">
      <c r="A544" s="49"/>
      <c r="L544" s="35"/>
    </row>
    <row r="545" ht="15.75" customHeight="1">
      <c r="A545" s="49"/>
      <c r="L545" s="35"/>
    </row>
    <row r="546" ht="15.75" customHeight="1">
      <c r="A546" s="49"/>
      <c r="L546" s="35"/>
    </row>
    <row r="547" ht="15.75" customHeight="1">
      <c r="A547" s="49"/>
      <c r="L547" s="35"/>
    </row>
    <row r="548" ht="15.75" customHeight="1">
      <c r="A548" s="49"/>
      <c r="L548" s="35"/>
    </row>
    <row r="549" ht="15.75" customHeight="1">
      <c r="A549" s="49"/>
      <c r="L549" s="35"/>
    </row>
    <row r="550" ht="15.75" customHeight="1">
      <c r="A550" s="49"/>
      <c r="L550" s="35"/>
    </row>
    <row r="551" ht="15.75" customHeight="1">
      <c r="A551" s="49"/>
      <c r="L551" s="35"/>
    </row>
    <row r="552" ht="15.75" customHeight="1">
      <c r="A552" s="49"/>
      <c r="L552" s="35"/>
    </row>
    <row r="553" ht="15.75" customHeight="1">
      <c r="A553" s="49"/>
      <c r="L553" s="35"/>
    </row>
    <row r="554" ht="15.75" customHeight="1">
      <c r="A554" s="49"/>
      <c r="L554" s="35"/>
    </row>
    <row r="555" ht="15.75" customHeight="1">
      <c r="A555" s="49"/>
      <c r="L555" s="35"/>
    </row>
    <row r="556" ht="15.75" customHeight="1">
      <c r="A556" s="49"/>
      <c r="L556" s="35"/>
    </row>
    <row r="557" ht="15.75" customHeight="1">
      <c r="A557" s="49"/>
      <c r="L557" s="35"/>
    </row>
    <row r="558" ht="15.75" customHeight="1">
      <c r="A558" s="49"/>
      <c r="L558" s="35"/>
    </row>
    <row r="559" ht="15.75" customHeight="1">
      <c r="A559" s="49"/>
      <c r="L559" s="35"/>
    </row>
    <row r="560" ht="15.75" customHeight="1">
      <c r="A560" s="49"/>
      <c r="L560" s="35"/>
    </row>
    <row r="561" ht="15.75" customHeight="1">
      <c r="A561" s="49"/>
      <c r="L561" s="35"/>
    </row>
    <row r="562" ht="15.75" customHeight="1">
      <c r="A562" s="49"/>
      <c r="L562" s="35"/>
    </row>
    <row r="563" ht="15.75" customHeight="1">
      <c r="A563" s="49"/>
      <c r="L563" s="35"/>
    </row>
    <row r="564" ht="15.75" customHeight="1">
      <c r="A564" s="49"/>
      <c r="L564" s="35"/>
    </row>
    <row r="565" ht="15.75" customHeight="1">
      <c r="A565" s="49"/>
      <c r="L565" s="35"/>
    </row>
    <row r="566" ht="15.75" customHeight="1">
      <c r="A566" s="49"/>
      <c r="L566" s="35"/>
    </row>
    <row r="567" ht="15.75" customHeight="1">
      <c r="A567" s="49"/>
      <c r="L567" s="35"/>
    </row>
    <row r="568" ht="15.75" customHeight="1">
      <c r="A568" s="49"/>
      <c r="L568" s="35"/>
    </row>
    <row r="569" ht="15.75" customHeight="1">
      <c r="A569" s="49"/>
      <c r="L569" s="35"/>
    </row>
    <row r="570" ht="15.75" customHeight="1">
      <c r="A570" s="49"/>
      <c r="L570" s="35"/>
    </row>
    <row r="571" ht="15.75" customHeight="1">
      <c r="A571" s="49"/>
      <c r="L571" s="35"/>
    </row>
    <row r="572" ht="15.75" customHeight="1">
      <c r="A572" s="49"/>
      <c r="L572" s="35"/>
    </row>
    <row r="573" ht="15.75" customHeight="1">
      <c r="A573" s="49"/>
      <c r="L573" s="35"/>
    </row>
    <row r="574" ht="15.75" customHeight="1">
      <c r="A574" s="49"/>
      <c r="L574" s="35"/>
    </row>
    <row r="575" ht="15.75" customHeight="1">
      <c r="A575" s="49"/>
      <c r="L575" s="35"/>
    </row>
    <row r="576" ht="15.75" customHeight="1">
      <c r="A576" s="49"/>
      <c r="L576" s="35"/>
    </row>
    <row r="577" ht="15.75" customHeight="1">
      <c r="A577" s="49"/>
      <c r="L577" s="35"/>
    </row>
    <row r="578" ht="15.75" customHeight="1">
      <c r="A578" s="49"/>
      <c r="L578" s="35"/>
    </row>
    <row r="579" ht="15.75" customHeight="1">
      <c r="A579" s="49"/>
      <c r="L579" s="35"/>
    </row>
    <row r="580" ht="15.75" customHeight="1">
      <c r="A580" s="49"/>
      <c r="L580" s="35"/>
    </row>
    <row r="581" ht="15.75" customHeight="1">
      <c r="A581" s="49"/>
      <c r="L581" s="35"/>
    </row>
    <row r="582" ht="15.75" customHeight="1">
      <c r="A582" s="49"/>
      <c r="L582" s="35"/>
    </row>
    <row r="583" ht="15.75" customHeight="1">
      <c r="A583" s="49"/>
      <c r="L583" s="35"/>
    </row>
    <row r="584" ht="15.75" customHeight="1">
      <c r="A584" s="49"/>
      <c r="L584" s="35"/>
    </row>
    <row r="585" ht="15.75" customHeight="1">
      <c r="A585" s="49"/>
      <c r="L585" s="35"/>
    </row>
    <row r="586" ht="15.75" customHeight="1">
      <c r="A586" s="49"/>
      <c r="L586" s="35"/>
    </row>
    <row r="587" ht="15.75" customHeight="1">
      <c r="A587" s="49"/>
      <c r="L587" s="35"/>
    </row>
    <row r="588" ht="15.75" customHeight="1">
      <c r="A588" s="49"/>
      <c r="L588" s="35"/>
    </row>
    <row r="589" ht="15.75" customHeight="1">
      <c r="A589" s="49"/>
      <c r="L589" s="35"/>
    </row>
    <row r="590" ht="15.75" customHeight="1">
      <c r="A590" s="49"/>
      <c r="L590" s="35"/>
    </row>
    <row r="591" ht="15.75" customHeight="1">
      <c r="A591" s="49"/>
      <c r="L591" s="35"/>
    </row>
    <row r="592" ht="15.75" customHeight="1">
      <c r="A592" s="49"/>
      <c r="L592" s="35"/>
    </row>
    <row r="593" ht="15.75" customHeight="1">
      <c r="A593" s="49"/>
      <c r="L593" s="35"/>
    </row>
    <row r="594" ht="15.75" customHeight="1">
      <c r="A594" s="49"/>
      <c r="L594" s="35"/>
    </row>
    <row r="595" ht="15.75" customHeight="1">
      <c r="A595" s="49"/>
      <c r="L595" s="35"/>
    </row>
    <row r="596" ht="15.75" customHeight="1">
      <c r="A596" s="49"/>
      <c r="L596" s="35"/>
    </row>
    <row r="597" ht="15.75" customHeight="1">
      <c r="A597" s="49"/>
      <c r="L597" s="35"/>
    </row>
    <row r="598" ht="15.75" customHeight="1">
      <c r="A598" s="49"/>
      <c r="L598" s="35"/>
    </row>
    <row r="599" ht="15.75" customHeight="1">
      <c r="A599" s="49"/>
      <c r="L599" s="35"/>
    </row>
    <row r="600" ht="15.75" customHeight="1">
      <c r="A600" s="49"/>
      <c r="L600" s="35"/>
    </row>
    <row r="601" ht="15.75" customHeight="1">
      <c r="A601" s="49"/>
      <c r="L601" s="35"/>
    </row>
    <row r="602" ht="15.75" customHeight="1">
      <c r="A602" s="49"/>
      <c r="L602" s="35"/>
    </row>
    <row r="603" ht="15.75" customHeight="1">
      <c r="A603" s="49"/>
      <c r="L603" s="35"/>
    </row>
    <row r="604" ht="15.75" customHeight="1">
      <c r="A604" s="49"/>
      <c r="L604" s="35"/>
    </row>
    <row r="605" ht="15.75" customHeight="1">
      <c r="A605" s="49"/>
      <c r="L605" s="35"/>
    </row>
    <row r="606" ht="15.75" customHeight="1">
      <c r="A606" s="49"/>
      <c r="L606" s="35"/>
    </row>
    <row r="607" ht="15.75" customHeight="1">
      <c r="A607" s="49"/>
      <c r="L607" s="35"/>
    </row>
    <row r="608" ht="15.75" customHeight="1">
      <c r="A608" s="49"/>
      <c r="L608" s="35"/>
    </row>
    <row r="609" ht="15.75" customHeight="1">
      <c r="A609" s="49"/>
      <c r="L609" s="35"/>
    </row>
    <row r="610" ht="15.75" customHeight="1">
      <c r="A610" s="49"/>
      <c r="L610" s="35"/>
    </row>
    <row r="611" ht="15.75" customHeight="1">
      <c r="A611" s="49"/>
      <c r="L611" s="35"/>
    </row>
    <row r="612" ht="15.75" customHeight="1">
      <c r="A612" s="49"/>
      <c r="L612" s="35"/>
    </row>
    <row r="613" ht="15.75" customHeight="1">
      <c r="A613" s="49"/>
      <c r="L613" s="35"/>
    </row>
    <row r="614" ht="15.75" customHeight="1">
      <c r="A614" s="49"/>
      <c r="L614" s="35"/>
    </row>
    <row r="615" ht="15.75" customHeight="1">
      <c r="A615" s="49"/>
      <c r="L615" s="35"/>
    </row>
    <row r="616" ht="15.75" customHeight="1">
      <c r="A616" s="49"/>
      <c r="L616" s="35"/>
    </row>
    <row r="617" ht="15.75" customHeight="1">
      <c r="A617" s="49"/>
      <c r="L617" s="35"/>
    </row>
    <row r="618" ht="15.75" customHeight="1">
      <c r="A618" s="49"/>
      <c r="L618" s="35"/>
    </row>
    <row r="619" ht="15.75" customHeight="1">
      <c r="A619" s="49"/>
      <c r="L619" s="35"/>
    </row>
    <row r="620" ht="15.75" customHeight="1">
      <c r="A620" s="49"/>
      <c r="L620" s="35"/>
    </row>
    <row r="621" ht="15.75" customHeight="1">
      <c r="A621" s="49"/>
      <c r="L621" s="35"/>
    </row>
    <row r="622" ht="15.75" customHeight="1">
      <c r="A622" s="49"/>
      <c r="L622" s="35"/>
    </row>
    <row r="623" ht="15.75" customHeight="1">
      <c r="A623" s="49"/>
      <c r="L623" s="35"/>
    </row>
    <row r="624" ht="15.75" customHeight="1">
      <c r="A624" s="49"/>
      <c r="L624" s="35"/>
    </row>
    <row r="625" ht="15.75" customHeight="1">
      <c r="A625" s="49"/>
      <c r="L625" s="35"/>
    </row>
    <row r="626" ht="15.75" customHeight="1">
      <c r="A626" s="49"/>
      <c r="L626" s="35"/>
    </row>
    <row r="627" ht="15.75" customHeight="1">
      <c r="A627" s="49"/>
      <c r="L627" s="35"/>
    </row>
    <row r="628" ht="15.75" customHeight="1">
      <c r="A628" s="49"/>
      <c r="L628" s="35"/>
    </row>
    <row r="629" ht="15.75" customHeight="1">
      <c r="A629" s="49"/>
      <c r="L629" s="35"/>
    </row>
    <row r="630" ht="15.75" customHeight="1">
      <c r="A630" s="49"/>
      <c r="L630" s="35"/>
    </row>
    <row r="631" ht="15.75" customHeight="1">
      <c r="A631" s="49"/>
      <c r="L631" s="35"/>
    </row>
    <row r="632" ht="15.75" customHeight="1">
      <c r="A632" s="49"/>
      <c r="L632" s="35"/>
    </row>
    <row r="633" ht="15.75" customHeight="1">
      <c r="A633" s="49"/>
      <c r="L633" s="35"/>
    </row>
    <row r="634" ht="15.75" customHeight="1">
      <c r="A634" s="49"/>
      <c r="L634" s="35"/>
    </row>
    <row r="635" ht="15.75" customHeight="1">
      <c r="A635" s="49"/>
      <c r="L635" s="35"/>
    </row>
    <row r="636" ht="15.75" customHeight="1">
      <c r="A636" s="49"/>
      <c r="L636" s="35"/>
    </row>
    <row r="637" ht="15.75" customHeight="1">
      <c r="A637" s="49"/>
      <c r="L637" s="35"/>
    </row>
    <row r="638" ht="15.75" customHeight="1">
      <c r="A638" s="49"/>
      <c r="L638" s="35"/>
    </row>
    <row r="639" ht="15.75" customHeight="1">
      <c r="A639" s="49"/>
      <c r="L639" s="35"/>
    </row>
    <row r="640" ht="15.75" customHeight="1">
      <c r="A640" s="49"/>
      <c r="L640" s="35"/>
    </row>
    <row r="641" ht="15.75" customHeight="1">
      <c r="A641" s="49"/>
      <c r="L641" s="35"/>
    </row>
    <row r="642" ht="15.75" customHeight="1">
      <c r="A642" s="49"/>
      <c r="L642" s="35"/>
    </row>
    <row r="643" ht="15.75" customHeight="1">
      <c r="A643" s="49"/>
      <c r="L643" s="35"/>
    </row>
    <row r="644" ht="15.75" customHeight="1">
      <c r="A644" s="49"/>
      <c r="L644" s="35"/>
    </row>
    <row r="645" ht="15.75" customHeight="1">
      <c r="A645" s="49"/>
      <c r="L645" s="35"/>
    </row>
    <row r="646" ht="15.75" customHeight="1">
      <c r="A646" s="49"/>
      <c r="L646" s="35"/>
    </row>
    <row r="647" ht="15.75" customHeight="1">
      <c r="A647" s="49"/>
      <c r="L647" s="35"/>
    </row>
    <row r="648" ht="15.75" customHeight="1">
      <c r="A648" s="49"/>
      <c r="L648" s="35"/>
    </row>
    <row r="649" ht="15.75" customHeight="1">
      <c r="A649" s="49"/>
      <c r="L649" s="35"/>
    </row>
    <row r="650" ht="15.75" customHeight="1">
      <c r="A650" s="49"/>
      <c r="L650" s="35"/>
    </row>
    <row r="651" ht="15.75" customHeight="1">
      <c r="A651" s="49"/>
      <c r="L651" s="35"/>
    </row>
    <row r="652" ht="15.75" customHeight="1">
      <c r="A652" s="49"/>
      <c r="L652" s="35"/>
    </row>
    <row r="653" ht="15.75" customHeight="1">
      <c r="A653" s="49"/>
      <c r="L653" s="35"/>
    </row>
    <row r="654" ht="15.75" customHeight="1">
      <c r="A654" s="49"/>
      <c r="L654" s="35"/>
    </row>
    <row r="655" ht="15.75" customHeight="1">
      <c r="A655" s="49"/>
      <c r="L655" s="35"/>
    </row>
    <row r="656" ht="15.75" customHeight="1">
      <c r="A656" s="49"/>
      <c r="L656" s="35"/>
    </row>
    <row r="657" ht="15.75" customHeight="1">
      <c r="A657" s="49"/>
      <c r="L657" s="35"/>
    </row>
    <row r="658" ht="15.75" customHeight="1">
      <c r="A658" s="49"/>
      <c r="L658" s="35"/>
    </row>
    <row r="659" ht="15.75" customHeight="1">
      <c r="A659" s="49"/>
      <c r="L659" s="35"/>
    </row>
    <row r="660" ht="15.75" customHeight="1">
      <c r="A660" s="49"/>
      <c r="L660" s="35"/>
    </row>
    <row r="661" ht="15.75" customHeight="1">
      <c r="A661" s="49"/>
      <c r="L661" s="35"/>
    </row>
    <row r="662" ht="15.75" customHeight="1">
      <c r="A662" s="49"/>
      <c r="L662" s="35"/>
    </row>
    <row r="663" ht="15.75" customHeight="1">
      <c r="A663" s="49"/>
      <c r="L663" s="35"/>
    </row>
    <row r="664" ht="15.75" customHeight="1">
      <c r="A664" s="49"/>
      <c r="L664" s="35"/>
    </row>
    <row r="665" ht="15.75" customHeight="1">
      <c r="A665" s="49"/>
      <c r="L665" s="35"/>
    </row>
    <row r="666" ht="15.75" customHeight="1">
      <c r="A666" s="49"/>
      <c r="L666" s="35"/>
    </row>
    <row r="667" ht="15.75" customHeight="1">
      <c r="A667" s="49"/>
      <c r="L667" s="35"/>
    </row>
    <row r="668" ht="15.75" customHeight="1">
      <c r="A668" s="49"/>
      <c r="L668" s="35"/>
    </row>
    <row r="669" ht="15.75" customHeight="1">
      <c r="A669" s="49"/>
      <c r="L669" s="35"/>
    </row>
    <row r="670" ht="15.75" customHeight="1">
      <c r="A670" s="49"/>
      <c r="L670" s="35"/>
    </row>
    <row r="671" ht="15.75" customHeight="1">
      <c r="A671" s="49"/>
      <c r="L671" s="35"/>
    </row>
    <row r="672" ht="15.75" customHeight="1">
      <c r="A672" s="49"/>
      <c r="L672" s="35"/>
    </row>
    <row r="673" ht="15.75" customHeight="1">
      <c r="A673" s="49"/>
      <c r="L673" s="35"/>
    </row>
    <row r="674" ht="15.75" customHeight="1">
      <c r="A674" s="49"/>
      <c r="L674" s="35"/>
    </row>
    <row r="675" ht="15.75" customHeight="1">
      <c r="A675" s="49"/>
      <c r="L675" s="35"/>
    </row>
    <row r="676" ht="15.75" customHeight="1">
      <c r="A676" s="49"/>
      <c r="L676" s="35"/>
    </row>
    <row r="677" ht="15.75" customHeight="1">
      <c r="A677" s="49"/>
      <c r="L677" s="35"/>
    </row>
    <row r="678" ht="15.75" customHeight="1">
      <c r="A678" s="49"/>
      <c r="L678" s="35"/>
    </row>
    <row r="679" ht="15.75" customHeight="1">
      <c r="A679" s="49"/>
      <c r="L679" s="35"/>
    </row>
    <row r="680" ht="15.75" customHeight="1">
      <c r="A680" s="49"/>
      <c r="L680" s="35"/>
    </row>
    <row r="681" ht="15.75" customHeight="1">
      <c r="A681" s="49"/>
      <c r="L681" s="35"/>
    </row>
    <row r="682" ht="15.75" customHeight="1">
      <c r="A682" s="49"/>
      <c r="L682" s="35"/>
    </row>
    <row r="683" ht="15.75" customHeight="1">
      <c r="A683" s="49"/>
      <c r="L683" s="35"/>
    </row>
    <row r="684" ht="15.75" customHeight="1">
      <c r="A684" s="49"/>
      <c r="L684" s="35"/>
    </row>
    <row r="685" ht="15.75" customHeight="1">
      <c r="A685" s="49"/>
      <c r="L685" s="35"/>
    </row>
    <row r="686" ht="15.75" customHeight="1">
      <c r="A686" s="49"/>
      <c r="L686" s="35"/>
    </row>
    <row r="687" ht="15.75" customHeight="1">
      <c r="A687" s="49"/>
      <c r="L687" s="35"/>
    </row>
    <row r="688" ht="15.75" customHeight="1">
      <c r="A688" s="49"/>
      <c r="L688" s="35"/>
    </row>
    <row r="689" ht="15.75" customHeight="1">
      <c r="A689" s="49"/>
      <c r="L689" s="35"/>
    </row>
    <row r="690" ht="15.75" customHeight="1">
      <c r="A690" s="49"/>
      <c r="L690" s="35"/>
    </row>
    <row r="691" ht="15.75" customHeight="1">
      <c r="A691" s="49"/>
      <c r="L691" s="35"/>
    </row>
    <row r="692" ht="15.75" customHeight="1">
      <c r="A692" s="49"/>
      <c r="L692" s="35"/>
    </row>
    <row r="693" ht="15.75" customHeight="1">
      <c r="A693" s="49"/>
      <c r="L693" s="35"/>
    </row>
    <row r="694" ht="15.75" customHeight="1">
      <c r="A694" s="49"/>
      <c r="L694" s="35"/>
    </row>
    <row r="695" ht="15.75" customHeight="1">
      <c r="A695" s="49"/>
      <c r="L695" s="35"/>
    </row>
    <row r="696" ht="15.75" customHeight="1">
      <c r="A696" s="49"/>
      <c r="L696" s="35"/>
    </row>
    <row r="697" ht="15.75" customHeight="1">
      <c r="A697" s="49"/>
      <c r="L697" s="35"/>
    </row>
    <row r="698" ht="15.75" customHeight="1">
      <c r="A698" s="49"/>
      <c r="L698" s="35"/>
    </row>
    <row r="699" ht="15.75" customHeight="1">
      <c r="A699" s="49"/>
      <c r="L699" s="35"/>
    </row>
    <row r="700" ht="15.75" customHeight="1">
      <c r="A700" s="49"/>
      <c r="L700" s="35"/>
    </row>
    <row r="701" ht="15.75" customHeight="1">
      <c r="A701" s="49"/>
      <c r="L701" s="35"/>
    </row>
    <row r="702" ht="15.75" customHeight="1">
      <c r="A702" s="49"/>
      <c r="L702" s="35"/>
    </row>
    <row r="703" ht="15.75" customHeight="1">
      <c r="A703" s="49"/>
      <c r="L703" s="35"/>
    </row>
    <row r="704" ht="15.75" customHeight="1">
      <c r="A704" s="49"/>
      <c r="L704" s="35"/>
    </row>
    <row r="705" ht="15.75" customHeight="1">
      <c r="A705" s="49"/>
      <c r="L705" s="35"/>
    </row>
    <row r="706" ht="15.75" customHeight="1">
      <c r="A706" s="49"/>
      <c r="L706" s="35"/>
    </row>
    <row r="707" ht="15.75" customHeight="1">
      <c r="A707" s="49"/>
      <c r="L707" s="35"/>
    </row>
    <row r="708" ht="15.75" customHeight="1">
      <c r="A708" s="49"/>
      <c r="L708" s="35"/>
    </row>
    <row r="709" ht="15.75" customHeight="1">
      <c r="A709" s="49"/>
      <c r="L709" s="35"/>
    </row>
    <row r="710" ht="15.75" customHeight="1">
      <c r="A710" s="49"/>
      <c r="L710" s="35"/>
    </row>
    <row r="711" ht="15.75" customHeight="1">
      <c r="A711" s="49"/>
      <c r="L711" s="35"/>
    </row>
    <row r="712" ht="15.75" customHeight="1">
      <c r="A712" s="49"/>
      <c r="L712" s="35"/>
    </row>
    <row r="713" ht="15.75" customHeight="1">
      <c r="A713" s="49"/>
      <c r="L713" s="35"/>
    </row>
    <row r="714" ht="15.75" customHeight="1">
      <c r="A714" s="49"/>
      <c r="L714" s="35"/>
    </row>
    <row r="715" ht="15.75" customHeight="1">
      <c r="A715" s="49"/>
      <c r="L715" s="35"/>
    </row>
    <row r="716" ht="15.75" customHeight="1">
      <c r="A716" s="49"/>
      <c r="L716" s="35"/>
    </row>
    <row r="717" ht="15.75" customHeight="1">
      <c r="A717" s="49"/>
      <c r="L717" s="35"/>
    </row>
    <row r="718" ht="15.75" customHeight="1">
      <c r="A718" s="49"/>
      <c r="L718" s="35"/>
    </row>
    <row r="719" ht="15.75" customHeight="1">
      <c r="A719" s="49"/>
      <c r="L719" s="35"/>
    </row>
    <row r="720" ht="15.75" customHeight="1">
      <c r="A720" s="49"/>
      <c r="L720" s="35"/>
    </row>
    <row r="721" ht="15.75" customHeight="1">
      <c r="A721" s="49"/>
      <c r="L721" s="35"/>
    </row>
    <row r="722" ht="15.75" customHeight="1">
      <c r="A722" s="49"/>
      <c r="L722" s="35"/>
    </row>
    <row r="723" ht="15.75" customHeight="1">
      <c r="A723" s="49"/>
      <c r="L723" s="35"/>
    </row>
    <row r="724" ht="15.75" customHeight="1">
      <c r="A724" s="49"/>
      <c r="L724" s="35"/>
    </row>
    <row r="725" ht="15.75" customHeight="1">
      <c r="A725" s="49"/>
      <c r="L725" s="35"/>
    </row>
    <row r="726" ht="15.75" customHeight="1">
      <c r="A726" s="49"/>
      <c r="L726" s="35"/>
    </row>
    <row r="727" ht="15.75" customHeight="1">
      <c r="A727" s="49"/>
      <c r="L727" s="35"/>
    </row>
    <row r="728" ht="15.75" customHeight="1">
      <c r="A728" s="49"/>
      <c r="L728" s="35"/>
    </row>
    <row r="729" ht="15.75" customHeight="1">
      <c r="A729" s="49"/>
      <c r="L729" s="35"/>
    </row>
    <row r="730" ht="15.75" customHeight="1">
      <c r="A730" s="49"/>
      <c r="L730" s="35"/>
    </row>
    <row r="731" ht="15.75" customHeight="1">
      <c r="A731" s="49"/>
      <c r="L731" s="35"/>
    </row>
    <row r="732" ht="15.75" customHeight="1">
      <c r="A732" s="49"/>
      <c r="L732" s="35"/>
    </row>
    <row r="733" ht="15.75" customHeight="1">
      <c r="A733" s="49"/>
      <c r="L733" s="35"/>
    </row>
    <row r="734" ht="15.75" customHeight="1">
      <c r="A734" s="49"/>
      <c r="L734" s="35"/>
    </row>
    <row r="735" ht="15.75" customHeight="1">
      <c r="A735" s="49"/>
      <c r="L735" s="35"/>
    </row>
    <row r="736" ht="15.75" customHeight="1">
      <c r="A736" s="49"/>
      <c r="L736" s="35"/>
    </row>
    <row r="737" ht="15.75" customHeight="1">
      <c r="A737" s="49"/>
      <c r="L737" s="35"/>
    </row>
    <row r="738" ht="15.75" customHeight="1">
      <c r="A738" s="49"/>
      <c r="L738" s="35"/>
    </row>
    <row r="739" ht="15.75" customHeight="1">
      <c r="A739" s="49"/>
      <c r="L739" s="35"/>
    </row>
    <row r="740" ht="15.75" customHeight="1">
      <c r="A740" s="49"/>
      <c r="L740" s="35"/>
    </row>
    <row r="741" ht="15.75" customHeight="1">
      <c r="A741" s="49"/>
      <c r="L741" s="35"/>
    </row>
    <row r="742" ht="15.75" customHeight="1">
      <c r="A742" s="49"/>
      <c r="L742" s="35"/>
    </row>
    <row r="743" ht="15.75" customHeight="1">
      <c r="A743" s="49"/>
      <c r="L743" s="35"/>
    </row>
    <row r="744" ht="15.75" customHeight="1">
      <c r="A744" s="49"/>
      <c r="L744" s="35"/>
    </row>
    <row r="745" ht="15.75" customHeight="1">
      <c r="A745" s="49"/>
      <c r="L745" s="35"/>
    </row>
    <row r="746" ht="15.75" customHeight="1">
      <c r="A746" s="49"/>
      <c r="L746" s="35"/>
    </row>
    <row r="747" ht="15.75" customHeight="1">
      <c r="A747" s="49"/>
      <c r="L747" s="35"/>
    </row>
    <row r="748" ht="15.75" customHeight="1">
      <c r="A748" s="49"/>
      <c r="L748" s="35"/>
    </row>
    <row r="749" ht="15.75" customHeight="1">
      <c r="A749" s="49"/>
      <c r="L749" s="35"/>
    </row>
    <row r="750" ht="15.75" customHeight="1">
      <c r="A750" s="49"/>
      <c r="L750" s="35"/>
    </row>
    <row r="751" ht="15.75" customHeight="1">
      <c r="A751" s="49"/>
      <c r="L751" s="35"/>
    </row>
    <row r="752" ht="15.75" customHeight="1">
      <c r="A752" s="49"/>
      <c r="L752" s="35"/>
    </row>
    <row r="753" ht="15.75" customHeight="1">
      <c r="A753" s="49"/>
      <c r="L753" s="35"/>
    </row>
    <row r="754" ht="15.75" customHeight="1">
      <c r="A754" s="49"/>
      <c r="L754" s="35"/>
    </row>
    <row r="755" ht="15.75" customHeight="1">
      <c r="A755" s="49"/>
      <c r="L755" s="35"/>
    </row>
    <row r="756" ht="15.75" customHeight="1">
      <c r="A756" s="49"/>
      <c r="L756" s="35"/>
    </row>
    <row r="757" ht="15.75" customHeight="1">
      <c r="A757" s="49"/>
      <c r="L757" s="35"/>
    </row>
    <row r="758" ht="15.75" customHeight="1">
      <c r="A758" s="49"/>
      <c r="L758" s="35"/>
    </row>
    <row r="759" ht="15.75" customHeight="1">
      <c r="A759" s="49"/>
      <c r="L759" s="35"/>
    </row>
    <row r="760" ht="15.75" customHeight="1">
      <c r="A760" s="49"/>
      <c r="L760" s="35"/>
    </row>
    <row r="761" ht="15.75" customHeight="1">
      <c r="A761" s="49"/>
      <c r="L761" s="35"/>
    </row>
    <row r="762" ht="15.75" customHeight="1">
      <c r="A762" s="49"/>
      <c r="L762" s="35"/>
    </row>
    <row r="763" ht="15.75" customHeight="1">
      <c r="A763" s="49"/>
      <c r="L763" s="35"/>
    </row>
    <row r="764" ht="15.75" customHeight="1">
      <c r="A764" s="49"/>
      <c r="L764" s="35"/>
    </row>
    <row r="765" ht="15.75" customHeight="1">
      <c r="A765" s="49"/>
      <c r="L765" s="35"/>
    </row>
    <row r="766" ht="15.75" customHeight="1">
      <c r="A766" s="49"/>
      <c r="L766" s="35"/>
    </row>
    <row r="767" ht="15.75" customHeight="1">
      <c r="A767" s="49"/>
      <c r="L767" s="35"/>
    </row>
    <row r="768" ht="15.75" customHeight="1">
      <c r="A768" s="49"/>
      <c r="L768" s="35"/>
    </row>
    <row r="769" ht="15.75" customHeight="1">
      <c r="A769" s="49"/>
      <c r="L769" s="35"/>
    </row>
    <row r="770" ht="15.75" customHeight="1">
      <c r="A770" s="49"/>
      <c r="L770" s="35"/>
    </row>
    <row r="771" ht="15.75" customHeight="1">
      <c r="A771" s="49"/>
      <c r="L771" s="35"/>
    </row>
    <row r="772" ht="15.75" customHeight="1">
      <c r="A772" s="49"/>
      <c r="L772" s="35"/>
    </row>
    <row r="773" ht="15.75" customHeight="1">
      <c r="A773" s="49"/>
      <c r="L773" s="35"/>
    </row>
    <row r="774" ht="15.75" customHeight="1">
      <c r="A774" s="49"/>
      <c r="L774" s="35"/>
    </row>
    <row r="775" ht="15.75" customHeight="1">
      <c r="A775" s="49"/>
      <c r="L775" s="35"/>
    </row>
    <row r="776" ht="15.75" customHeight="1">
      <c r="A776" s="49"/>
      <c r="L776" s="35"/>
    </row>
    <row r="777" ht="15.75" customHeight="1">
      <c r="A777" s="49"/>
      <c r="L777" s="35"/>
    </row>
    <row r="778" ht="15.75" customHeight="1">
      <c r="A778" s="49"/>
      <c r="L778" s="35"/>
    </row>
    <row r="779" ht="15.75" customHeight="1">
      <c r="A779" s="49"/>
      <c r="L779" s="35"/>
    </row>
    <row r="780" ht="15.75" customHeight="1">
      <c r="A780" s="49"/>
      <c r="L780" s="35"/>
    </row>
    <row r="781" ht="15.75" customHeight="1">
      <c r="A781" s="49"/>
      <c r="L781" s="35"/>
    </row>
    <row r="782" ht="15.75" customHeight="1">
      <c r="A782" s="49"/>
      <c r="L782" s="35"/>
    </row>
    <row r="783" ht="15.75" customHeight="1">
      <c r="A783" s="49"/>
      <c r="L783" s="35"/>
    </row>
    <row r="784" ht="15.75" customHeight="1">
      <c r="A784" s="49"/>
      <c r="L784" s="35"/>
    </row>
    <row r="785" ht="15.75" customHeight="1">
      <c r="A785" s="49"/>
      <c r="L785" s="35"/>
    </row>
    <row r="786" ht="15.75" customHeight="1">
      <c r="A786" s="49"/>
      <c r="L786" s="35"/>
    </row>
    <row r="787" ht="15.75" customHeight="1">
      <c r="A787" s="49"/>
      <c r="L787" s="35"/>
    </row>
    <row r="788" ht="15.75" customHeight="1">
      <c r="A788" s="49"/>
      <c r="L788" s="35"/>
    </row>
    <row r="789" ht="15.75" customHeight="1">
      <c r="A789" s="49"/>
      <c r="L789" s="35"/>
    </row>
    <row r="790" ht="15.75" customHeight="1">
      <c r="A790" s="49"/>
      <c r="L790" s="35"/>
    </row>
    <row r="791" ht="15.75" customHeight="1">
      <c r="A791" s="49"/>
      <c r="L791" s="35"/>
    </row>
    <row r="792" ht="15.75" customHeight="1">
      <c r="A792" s="49"/>
      <c r="L792" s="35"/>
    </row>
    <row r="793" ht="15.75" customHeight="1">
      <c r="A793" s="49"/>
      <c r="L793" s="35"/>
    </row>
    <row r="794" ht="15.75" customHeight="1">
      <c r="A794" s="49"/>
      <c r="L794" s="35"/>
    </row>
    <row r="795" ht="15.75" customHeight="1">
      <c r="A795" s="49"/>
      <c r="L795" s="35"/>
    </row>
    <row r="796" ht="15.75" customHeight="1">
      <c r="A796" s="49"/>
      <c r="L796" s="35"/>
    </row>
    <row r="797" ht="15.75" customHeight="1">
      <c r="A797" s="49"/>
      <c r="L797" s="35"/>
    </row>
    <row r="798" ht="15.75" customHeight="1">
      <c r="A798" s="49"/>
      <c r="L798" s="35"/>
    </row>
    <row r="799" ht="15.75" customHeight="1">
      <c r="A799" s="49"/>
      <c r="L799" s="35"/>
    </row>
    <row r="800" ht="15.75" customHeight="1">
      <c r="A800" s="49"/>
      <c r="L800" s="35"/>
    </row>
    <row r="801" ht="15.75" customHeight="1">
      <c r="A801" s="49"/>
      <c r="L801" s="35"/>
    </row>
    <row r="802" ht="15.75" customHeight="1">
      <c r="A802" s="49"/>
      <c r="L802" s="35"/>
    </row>
    <row r="803" ht="15.75" customHeight="1">
      <c r="A803" s="49"/>
      <c r="L803" s="35"/>
    </row>
    <row r="804" ht="15.75" customHeight="1">
      <c r="A804" s="49"/>
      <c r="L804" s="35"/>
    </row>
    <row r="805" ht="15.75" customHeight="1">
      <c r="A805" s="49"/>
      <c r="L805" s="35"/>
    </row>
    <row r="806" ht="15.75" customHeight="1">
      <c r="A806" s="49"/>
      <c r="L806" s="35"/>
    </row>
    <row r="807" ht="15.75" customHeight="1">
      <c r="A807" s="49"/>
      <c r="L807" s="35"/>
    </row>
    <row r="808" ht="15.75" customHeight="1">
      <c r="A808" s="49"/>
      <c r="L808" s="35"/>
    </row>
    <row r="809" ht="15.75" customHeight="1">
      <c r="A809" s="49"/>
      <c r="L809" s="35"/>
    </row>
    <row r="810" ht="15.75" customHeight="1">
      <c r="A810" s="49"/>
      <c r="L810" s="35"/>
    </row>
    <row r="811" ht="15.75" customHeight="1">
      <c r="A811" s="49"/>
      <c r="L811" s="35"/>
    </row>
    <row r="812" ht="15.75" customHeight="1">
      <c r="A812" s="49"/>
      <c r="L812" s="35"/>
    </row>
    <row r="813" ht="15.75" customHeight="1">
      <c r="A813" s="49"/>
      <c r="L813" s="35"/>
    </row>
    <row r="814" ht="15.75" customHeight="1">
      <c r="A814" s="49"/>
      <c r="L814" s="35"/>
    </row>
    <row r="815" ht="15.75" customHeight="1">
      <c r="A815" s="49"/>
      <c r="L815" s="35"/>
    </row>
    <row r="816" ht="15.75" customHeight="1">
      <c r="A816" s="49"/>
      <c r="L816" s="35"/>
    </row>
    <row r="817" ht="15.75" customHeight="1">
      <c r="A817" s="49"/>
      <c r="L817" s="35"/>
    </row>
    <row r="818" ht="15.75" customHeight="1">
      <c r="A818" s="49"/>
      <c r="L818" s="35"/>
    </row>
    <row r="819" ht="15.75" customHeight="1">
      <c r="A819" s="49"/>
      <c r="L819" s="35"/>
    </row>
    <row r="820" ht="15.75" customHeight="1">
      <c r="A820" s="49"/>
      <c r="L820" s="35"/>
    </row>
    <row r="821" ht="15.75" customHeight="1">
      <c r="A821" s="49"/>
      <c r="L821" s="35"/>
    </row>
    <row r="822" ht="15.75" customHeight="1">
      <c r="A822" s="49"/>
      <c r="L822" s="35"/>
    </row>
    <row r="823" ht="15.75" customHeight="1">
      <c r="A823" s="49"/>
      <c r="L823" s="35"/>
    </row>
    <row r="824" ht="15.75" customHeight="1">
      <c r="A824" s="49"/>
      <c r="L824" s="35"/>
    </row>
    <row r="825" ht="15.75" customHeight="1">
      <c r="A825" s="49"/>
      <c r="L825" s="35"/>
    </row>
    <row r="826" ht="15.75" customHeight="1">
      <c r="A826" s="49"/>
      <c r="L826" s="35"/>
    </row>
    <row r="827" ht="15.75" customHeight="1">
      <c r="A827" s="49"/>
      <c r="L827" s="35"/>
    </row>
    <row r="828" ht="15.75" customHeight="1">
      <c r="A828" s="49"/>
      <c r="L828" s="35"/>
    </row>
    <row r="829" ht="15.75" customHeight="1">
      <c r="A829" s="49"/>
      <c r="L829" s="35"/>
    </row>
    <row r="830" ht="15.75" customHeight="1">
      <c r="A830" s="49"/>
      <c r="L830" s="35"/>
    </row>
    <row r="831" ht="15.75" customHeight="1">
      <c r="A831" s="49"/>
      <c r="L831" s="35"/>
    </row>
    <row r="832" ht="15.75" customHeight="1">
      <c r="A832" s="49"/>
      <c r="L832" s="35"/>
    </row>
    <row r="833" ht="15.75" customHeight="1">
      <c r="A833" s="49"/>
      <c r="L833" s="35"/>
    </row>
    <row r="834" ht="15.75" customHeight="1">
      <c r="A834" s="49"/>
      <c r="L834" s="35"/>
    </row>
    <row r="835" ht="15.75" customHeight="1">
      <c r="A835" s="49"/>
      <c r="L835" s="35"/>
    </row>
    <row r="836" ht="15.75" customHeight="1">
      <c r="A836" s="49"/>
      <c r="L836" s="35"/>
    </row>
    <row r="837" ht="15.75" customHeight="1">
      <c r="A837" s="49"/>
      <c r="L837" s="35"/>
    </row>
    <row r="838" ht="15.75" customHeight="1">
      <c r="A838" s="49"/>
      <c r="L838" s="35"/>
    </row>
    <row r="839" ht="15.75" customHeight="1">
      <c r="A839" s="49"/>
      <c r="L839" s="35"/>
    </row>
    <row r="840" ht="15.75" customHeight="1">
      <c r="A840" s="49"/>
      <c r="L840" s="35"/>
    </row>
    <row r="841" ht="15.75" customHeight="1">
      <c r="A841" s="49"/>
      <c r="L841" s="35"/>
    </row>
    <row r="842" ht="15.75" customHeight="1">
      <c r="A842" s="49"/>
      <c r="L842" s="35"/>
    </row>
    <row r="843" ht="15.75" customHeight="1">
      <c r="A843" s="49"/>
      <c r="L843" s="35"/>
    </row>
    <row r="844" ht="15.75" customHeight="1">
      <c r="A844" s="49"/>
      <c r="L844" s="35"/>
    </row>
    <row r="845" ht="15.75" customHeight="1">
      <c r="A845" s="49"/>
      <c r="L845" s="35"/>
    </row>
    <row r="846" ht="15.75" customHeight="1">
      <c r="A846" s="49"/>
      <c r="L846" s="35"/>
    </row>
    <row r="847" ht="15.75" customHeight="1">
      <c r="A847" s="49"/>
      <c r="L847" s="35"/>
    </row>
    <row r="848" ht="15.75" customHeight="1">
      <c r="A848" s="49"/>
      <c r="L848" s="35"/>
    </row>
    <row r="849" ht="15.75" customHeight="1">
      <c r="A849" s="49"/>
      <c r="L849" s="35"/>
    </row>
    <row r="850" ht="15.75" customHeight="1">
      <c r="A850" s="49"/>
      <c r="L850" s="35"/>
    </row>
    <row r="851" ht="15.75" customHeight="1">
      <c r="A851" s="49"/>
      <c r="L851" s="35"/>
    </row>
    <row r="852" ht="15.75" customHeight="1">
      <c r="A852" s="49"/>
      <c r="L852" s="35"/>
    </row>
    <row r="853" ht="15.75" customHeight="1">
      <c r="A853" s="49"/>
      <c r="L853" s="35"/>
    </row>
    <row r="854" ht="15.75" customHeight="1">
      <c r="A854" s="49"/>
      <c r="L854" s="35"/>
    </row>
    <row r="855" ht="15.75" customHeight="1">
      <c r="A855" s="49"/>
      <c r="L855" s="35"/>
    </row>
    <row r="856" ht="15.75" customHeight="1">
      <c r="A856" s="49"/>
      <c r="L856" s="35"/>
    </row>
    <row r="857" ht="15.75" customHeight="1">
      <c r="A857" s="49"/>
      <c r="L857" s="35"/>
    </row>
    <row r="858" ht="15.75" customHeight="1">
      <c r="A858" s="49"/>
      <c r="L858" s="35"/>
    </row>
    <row r="859" ht="15.75" customHeight="1">
      <c r="A859" s="49"/>
      <c r="L859" s="35"/>
    </row>
    <row r="860" ht="15.75" customHeight="1">
      <c r="A860" s="49"/>
      <c r="L860" s="35"/>
    </row>
    <row r="861" ht="15.75" customHeight="1">
      <c r="A861" s="49"/>
      <c r="L861" s="35"/>
    </row>
    <row r="862" ht="15.75" customHeight="1">
      <c r="A862" s="49"/>
      <c r="L862" s="35"/>
    </row>
    <row r="863" ht="15.75" customHeight="1">
      <c r="A863" s="49"/>
      <c r="L863" s="35"/>
    </row>
    <row r="864" ht="15.75" customHeight="1">
      <c r="A864" s="49"/>
      <c r="L864" s="35"/>
    </row>
    <row r="865" ht="15.75" customHeight="1">
      <c r="A865" s="49"/>
      <c r="L865" s="35"/>
    </row>
    <row r="866" ht="15.75" customHeight="1">
      <c r="A866" s="49"/>
      <c r="L866" s="35"/>
    </row>
    <row r="867" ht="15.75" customHeight="1">
      <c r="A867" s="49"/>
      <c r="L867" s="35"/>
    </row>
    <row r="868" ht="15.75" customHeight="1">
      <c r="A868" s="49"/>
      <c r="L868" s="35"/>
    </row>
    <row r="869" ht="15.75" customHeight="1">
      <c r="A869" s="49"/>
      <c r="L869" s="35"/>
    </row>
    <row r="870" ht="15.75" customHeight="1">
      <c r="A870" s="49"/>
      <c r="L870" s="35"/>
    </row>
    <row r="871" ht="15.75" customHeight="1">
      <c r="A871" s="49"/>
      <c r="L871" s="35"/>
    </row>
    <row r="872" ht="15.75" customHeight="1">
      <c r="A872" s="49"/>
      <c r="L872" s="35"/>
    </row>
    <row r="873" ht="15.75" customHeight="1">
      <c r="A873" s="49"/>
      <c r="L873" s="35"/>
    </row>
    <row r="874" ht="15.75" customHeight="1">
      <c r="A874" s="49"/>
      <c r="L874" s="35"/>
    </row>
    <row r="875" ht="15.75" customHeight="1">
      <c r="A875" s="49"/>
      <c r="L875" s="35"/>
    </row>
    <row r="876" ht="15.75" customHeight="1">
      <c r="A876" s="49"/>
      <c r="L876" s="35"/>
    </row>
    <row r="877" ht="15.75" customHeight="1">
      <c r="A877" s="49"/>
      <c r="L877" s="35"/>
    </row>
    <row r="878" ht="15.75" customHeight="1">
      <c r="A878" s="49"/>
      <c r="L878" s="35"/>
    </row>
    <row r="879" ht="15.75" customHeight="1">
      <c r="A879" s="49"/>
      <c r="L879" s="35"/>
    </row>
    <row r="880" ht="15.75" customHeight="1">
      <c r="A880" s="49"/>
      <c r="L880" s="35"/>
    </row>
    <row r="881" ht="15.75" customHeight="1">
      <c r="A881" s="49"/>
      <c r="L881" s="35"/>
    </row>
    <row r="882" ht="15.75" customHeight="1">
      <c r="A882" s="49"/>
      <c r="L882" s="35"/>
    </row>
    <row r="883" ht="15.75" customHeight="1">
      <c r="A883" s="49"/>
      <c r="L883" s="35"/>
    </row>
    <row r="884" ht="15.75" customHeight="1">
      <c r="A884" s="49"/>
      <c r="L884" s="35"/>
    </row>
    <row r="885" ht="15.75" customHeight="1">
      <c r="A885" s="49"/>
      <c r="L885" s="35"/>
    </row>
    <row r="886" ht="15.75" customHeight="1">
      <c r="A886" s="49"/>
      <c r="L886" s="35"/>
    </row>
    <row r="887" ht="15.75" customHeight="1">
      <c r="A887" s="49"/>
      <c r="L887" s="35"/>
    </row>
    <row r="888" ht="15.75" customHeight="1">
      <c r="A888" s="49"/>
      <c r="L888" s="35"/>
    </row>
    <row r="889" ht="15.75" customHeight="1">
      <c r="A889" s="49"/>
      <c r="L889" s="35"/>
    </row>
    <row r="890" ht="15.75" customHeight="1">
      <c r="A890" s="49"/>
      <c r="L890" s="35"/>
    </row>
    <row r="891" ht="15.75" customHeight="1">
      <c r="A891" s="49"/>
      <c r="L891" s="35"/>
    </row>
    <row r="892" ht="15.75" customHeight="1">
      <c r="A892" s="49"/>
      <c r="L892" s="35"/>
    </row>
    <row r="893" ht="15.75" customHeight="1">
      <c r="A893" s="49"/>
      <c r="L893" s="35"/>
    </row>
    <row r="894" ht="15.75" customHeight="1">
      <c r="A894" s="49"/>
      <c r="L894" s="35"/>
    </row>
    <row r="895" ht="15.75" customHeight="1">
      <c r="A895" s="49"/>
      <c r="L895" s="35"/>
    </row>
    <row r="896" ht="15.75" customHeight="1">
      <c r="A896" s="49"/>
      <c r="L896" s="35"/>
    </row>
    <row r="897" ht="15.75" customHeight="1">
      <c r="A897" s="49"/>
      <c r="L897" s="35"/>
    </row>
    <row r="898" ht="15.75" customHeight="1">
      <c r="A898" s="49"/>
      <c r="L898" s="35"/>
    </row>
    <row r="899" ht="15.75" customHeight="1">
      <c r="A899" s="49"/>
      <c r="L899" s="35"/>
    </row>
    <row r="900" ht="15.75" customHeight="1">
      <c r="A900" s="49"/>
      <c r="L900" s="35"/>
    </row>
    <row r="901" ht="15.75" customHeight="1">
      <c r="A901" s="49"/>
      <c r="L901" s="35"/>
    </row>
    <row r="902" ht="15.75" customHeight="1">
      <c r="A902" s="49"/>
      <c r="L902" s="35"/>
    </row>
    <row r="903" ht="15.75" customHeight="1">
      <c r="A903" s="49"/>
      <c r="L903" s="35"/>
    </row>
    <row r="904" ht="15.75" customHeight="1">
      <c r="A904" s="49"/>
      <c r="L904" s="35"/>
    </row>
    <row r="905" ht="15.75" customHeight="1">
      <c r="A905" s="49"/>
      <c r="L905" s="35"/>
    </row>
    <row r="906" ht="15.75" customHeight="1">
      <c r="A906" s="49"/>
      <c r="L906" s="35"/>
    </row>
    <row r="907" ht="15.75" customHeight="1">
      <c r="A907" s="49"/>
      <c r="L907" s="35"/>
    </row>
    <row r="908" ht="15.75" customHeight="1">
      <c r="A908" s="49"/>
      <c r="L908" s="35"/>
    </row>
    <row r="909" ht="15.75" customHeight="1">
      <c r="A909" s="49"/>
      <c r="L909" s="35"/>
    </row>
    <row r="910" ht="15.75" customHeight="1">
      <c r="A910" s="49"/>
      <c r="L910" s="35"/>
    </row>
    <row r="911" ht="15.75" customHeight="1">
      <c r="A911" s="49"/>
      <c r="L911" s="35"/>
    </row>
    <row r="912" ht="15.75" customHeight="1">
      <c r="A912" s="49"/>
      <c r="L912" s="35"/>
    </row>
    <row r="913" ht="15.75" customHeight="1">
      <c r="A913" s="49"/>
      <c r="L913" s="35"/>
    </row>
    <row r="914" ht="15.75" customHeight="1">
      <c r="A914" s="49"/>
      <c r="L914" s="35"/>
    </row>
    <row r="915" ht="15.75" customHeight="1">
      <c r="A915" s="49"/>
      <c r="L915" s="35"/>
    </row>
    <row r="916" ht="15.75" customHeight="1">
      <c r="A916" s="49"/>
      <c r="L916" s="35"/>
    </row>
    <row r="917" ht="15.75" customHeight="1">
      <c r="A917" s="49"/>
      <c r="L917" s="35"/>
    </row>
    <row r="918" ht="15.75" customHeight="1">
      <c r="A918" s="49"/>
      <c r="L918" s="35"/>
    </row>
    <row r="919" ht="15.75" customHeight="1">
      <c r="A919" s="49"/>
      <c r="L919" s="35"/>
    </row>
    <row r="920" ht="15.75" customHeight="1">
      <c r="A920" s="49"/>
      <c r="L920" s="35"/>
    </row>
    <row r="921" ht="15.75" customHeight="1">
      <c r="A921" s="49"/>
      <c r="L921" s="35"/>
    </row>
    <row r="922" ht="15.75" customHeight="1">
      <c r="A922" s="49"/>
      <c r="L922" s="35"/>
    </row>
    <row r="923" ht="15.75" customHeight="1">
      <c r="A923" s="49"/>
      <c r="L923" s="35"/>
    </row>
    <row r="924" ht="15.75" customHeight="1">
      <c r="A924" s="49"/>
      <c r="L924" s="35"/>
    </row>
    <row r="925" ht="15.75" customHeight="1">
      <c r="A925" s="49"/>
      <c r="L925" s="35"/>
    </row>
    <row r="926" ht="15.75" customHeight="1">
      <c r="A926" s="49"/>
      <c r="L926" s="35"/>
    </row>
    <row r="927" ht="15.75" customHeight="1">
      <c r="A927" s="49"/>
      <c r="L927" s="35"/>
    </row>
    <row r="928" ht="15.75" customHeight="1">
      <c r="A928" s="49"/>
      <c r="L928" s="35"/>
    </row>
    <row r="929" ht="15.75" customHeight="1">
      <c r="A929" s="49"/>
      <c r="L929" s="35"/>
    </row>
    <row r="930" ht="15.75" customHeight="1">
      <c r="A930" s="49"/>
      <c r="L930" s="35"/>
    </row>
    <row r="931" ht="15.75" customHeight="1">
      <c r="A931" s="49"/>
      <c r="L931" s="35"/>
    </row>
    <row r="932" ht="15.75" customHeight="1">
      <c r="A932" s="49"/>
      <c r="L932" s="35"/>
    </row>
    <row r="933" ht="15.75" customHeight="1">
      <c r="A933" s="49"/>
      <c r="L933" s="35"/>
    </row>
    <row r="934" ht="15.75" customHeight="1">
      <c r="A934" s="49"/>
      <c r="L934" s="35"/>
    </row>
    <row r="935" ht="15.75" customHeight="1">
      <c r="A935" s="49"/>
      <c r="L935" s="35"/>
    </row>
    <row r="936" ht="15.75" customHeight="1">
      <c r="A936" s="49"/>
      <c r="L936" s="35"/>
    </row>
    <row r="937" ht="15.75" customHeight="1">
      <c r="A937" s="49"/>
      <c r="L937" s="35"/>
    </row>
    <row r="938" ht="15.75" customHeight="1">
      <c r="A938" s="49"/>
      <c r="L938" s="35"/>
    </row>
    <row r="939" ht="15.75" customHeight="1">
      <c r="A939" s="49"/>
      <c r="L939" s="35"/>
    </row>
    <row r="940" ht="15.75" customHeight="1">
      <c r="A940" s="49"/>
      <c r="L940" s="35"/>
    </row>
    <row r="941" ht="15.75" customHeight="1">
      <c r="A941" s="49"/>
      <c r="L941" s="35"/>
    </row>
    <row r="942" ht="15.75" customHeight="1">
      <c r="A942" s="49"/>
      <c r="L942" s="35"/>
    </row>
    <row r="943" ht="15.75" customHeight="1">
      <c r="A943" s="49"/>
      <c r="L943" s="35"/>
    </row>
    <row r="944" ht="15.75" customHeight="1">
      <c r="A944" s="49"/>
      <c r="L944" s="35"/>
    </row>
    <row r="945" ht="15.75" customHeight="1">
      <c r="A945" s="49"/>
      <c r="L945" s="35"/>
    </row>
    <row r="946" ht="15.75" customHeight="1">
      <c r="A946" s="49"/>
      <c r="L946" s="35"/>
    </row>
    <row r="947" ht="15.75" customHeight="1">
      <c r="A947" s="49"/>
      <c r="L947" s="35"/>
    </row>
    <row r="948" ht="15.75" customHeight="1">
      <c r="A948" s="49"/>
      <c r="L948" s="35"/>
    </row>
    <row r="949" ht="15.75" customHeight="1">
      <c r="A949" s="49"/>
      <c r="L949" s="35"/>
    </row>
    <row r="950" ht="15.75" customHeight="1">
      <c r="A950" s="49"/>
      <c r="L950" s="35"/>
    </row>
    <row r="951" ht="15.75" customHeight="1">
      <c r="A951" s="49"/>
      <c r="L951" s="35"/>
    </row>
    <row r="952" ht="15.75" customHeight="1">
      <c r="A952" s="49"/>
      <c r="L952" s="35"/>
    </row>
    <row r="953" ht="15.75" customHeight="1">
      <c r="A953" s="49"/>
      <c r="L953" s="35"/>
    </row>
    <row r="954" ht="15.75" customHeight="1">
      <c r="A954" s="49"/>
      <c r="L954" s="35"/>
    </row>
    <row r="955" ht="15.75" customHeight="1">
      <c r="A955" s="49"/>
      <c r="L955" s="35"/>
    </row>
    <row r="956" ht="15.75" customHeight="1">
      <c r="A956" s="49"/>
      <c r="L956" s="35"/>
    </row>
    <row r="957" ht="15.75" customHeight="1">
      <c r="A957" s="49"/>
      <c r="L957" s="35"/>
    </row>
    <row r="958" ht="15.75" customHeight="1">
      <c r="A958" s="49"/>
      <c r="L958" s="35"/>
    </row>
    <row r="959" ht="15.75" customHeight="1">
      <c r="A959" s="49"/>
      <c r="L959" s="35"/>
    </row>
    <row r="960" ht="15.75" customHeight="1">
      <c r="A960" s="49"/>
      <c r="L960" s="35"/>
    </row>
    <row r="961" ht="15.75" customHeight="1">
      <c r="A961" s="49"/>
      <c r="L961" s="35"/>
    </row>
    <row r="962" ht="15.75" customHeight="1">
      <c r="A962" s="49"/>
      <c r="L962" s="35"/>
    </row>
    <row r="963" ht="15.75" customHeight="1">
      <c r="A963" s="49"/>
      <c r="L963" s="35"/>
    </row>
    <row r="964" ht="15.75" customHeight="1">
      <c r="A964" s="49"/>
      <c r="L964" s="35"/>
    </row>
    <row r="965" ht="15.75" customHeight="1">
      <c r="A965" s="49"/>
      <c r="L965" s="35"/>
    </row>
    <row r="966" ht="15.75" customHeight="1">
      <c r="A966" s="49"/>
      <c r="L966" s="35"/>
    </row>
    <row r="967" ht="15.75" customHeight="1">
      <c r="A967" s="49"/>
      <c r="L967" s="35"/>
    </row>
    <row r="968" ht="15.75" customHeight="1">
      <c r="A968" s="49"/>
      <c r="L968" s="35"/>
    </row>
    <row r="969" ht="15.75" customHeight="1">
      <c r="A969" s="49"/>
      <c r="L969" s="35"/>
    </row>
    <row r="970" ht="15.75" customHeight="1">
      <c r="A970" s="49"/>
      <c r="L970" s="35"/>
    </row>
    <row r="971" ht="15.75" customHeight="1">
      <c r="A971" s="49"/>
      <c r="L971" s="35"/>
    </row>
    <row r="972" ht="15.75" customHeight="1">
      <c r="A972" s="49"/>
      <c r="L972" s="35"/>
    </row>
    <row r="973" ht="15.75" customHeight="1">
      <c r="A973" s="49"/>
      <c r="L973" s="35"/>
    </row>
    <row r="974" ht="15.75" customHeight="1">
      <c r="A974" s="49"/>
      <c r="L974" s="35"/>
    </row>
    <row r="975" ht="15.75" customHeight="1">
      <c r="A975" s="49"/>
      <c r="L975" s="35"/>
    </row>
    <row r="976" ht="15.75" customHeight="1">
      <c r="A976" s="49"/>
      <c r="L976" s="35"/>
    </row>
    <row r="977" ht="15.75" customHeight="1">
      <c r="A977" s="49"/>
      <c r="L977" s="35"/>
    </row>
    <row r="978" ht="15.75" customHeight="1">
      <c r="A978" s="49"/>
      <c r="L978" s="35"/>
    </row>
    <row r="979" ht="15.75" customHeight="1">
      <c r="A979" s="49"/>
      <c r="L979" s="35"/>
    </row>
    <row r="980" ht="15.75" customHeight="1">
      <c r="A980" s="49"/>
      <c r="L980" s="35"/>
    </row>
    <row r="981" ht="15.75" customHeight="1">
      <c r="A981" s="49"/>
      <c r="L981" s="35"/>
    </row>
    <row r="982" ht="15.75" customHeight="1">
      <c r="A982" s="49"/>
      <c r="L982" s="35"/>
    </row>
    <row r="983" ht="15.75" customHeight="1">
      <c r="A983" s="49"/>
      <c r="L983" s="35"/>
    </row>
    <row r="984" ht="15.75" customHeight="1">
      <c r="A984" s="49"/>
      <c r="L984" s="35"/>
    </row>
    <row r="985" ht="15.75" customHeight="1">
      <c r="A985" s="49"/>
      <c r="L985" s="35"/>
    </row>
    <row r="986" ht="15.75" customHeight="1">
      <c r="A986" s="49"/>
      <c r="L986" s="35"/>
    </row>
    <row r="987" ht="15.75" customHeight="1">
      <c r="A987" s="49"/>
      <c r="L987" s="35"/>
    </row>
    <row r="988" ht="15.75" customHeight="1">
      <c r="A988" s="49"/>
      <c r="L988" s="35"/>
    </row>
    <row r="989" ht="15.75" customHeight="1">
      <c r="A989" s="49"/>
      <c r="L989" s="35"/>
    </row>
    <row r="990" ht="15.75" customHeight="1">
      <c r="A990" s="49"/>
      <c r="L990" s="35"/>
    </row>
    <row r="991" ht="15.75" customHeight="1">
      <c r="A991" s="49"/>
      <c r="L991" s="35"/>
    </row>
    <row r="992" ht="15.75" customHeight="1">
      <c r="A992" s="49"/>
      <c r="L992" s="35"/>
    </row>
    <row r="993" ht="15.75" customHeight="1">
      <c r="A993" s="49"/>
      <c r="L993" s="35"/>
    </row>
    <row r="994" ht="15.75" customHeight="1">
      <c r="A994" s="49"/>
      <c r="L994" s="35"/>
    </row>
    <row r="995" ht="15.75" customHeight="1">
      <c r="A995" s="49"/>
      <c r="L995" s="35"/>
    </row>
    <row r="996" ht="15.75" customHeight="1">
      <c r="A996" s="49"/>
      <c r="L996" s="35"/>
    </row>
    <row r="997" ht="15.75" customHeight="1">
      <c r="A997" s="49"/>
      <c r="L997" s="35"/>
    </row>
    <row r="998" ht="15.75" customHeight="1">
      <c r="A998" s="49"/>
      <c r="L998" s="35"/>
    </row>
    <row r="999" ht="15.75" customHeight="1">
      <c r="A999" s="49"/>
      <c r="L999" s="35"/>
    </row>
    <row r="1000" ht="15.75" customHeight="1">
      <c r="A1000" s="49"/>
      <c r="L1000" s="35"/>
    </row>
    <row r="1001" ht="15.75" customHeight="1">
      <c r="A1001" s="49"/>
      <c r="L1001" s="35"/>
    </row>
    <row r="1002" ht="15.75" customHeight="1">
      <c r="A1002" s="49"/>
      <c r="L1002" s="35"/>
    </row>
  </sheetData>
  <conditionalFormatting sqref="M10:M53">
    <cfRule type="cellIs" dxfId="1" priority="1" operator="equal">
      <formula>"a"</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9" t="s">
        <v>101</v>
      </c>
      <c r="B1" s="80" t="s">
        <v>102</v>
      </c>
    </row>
  </sheetData>
  <drawing r:id="rId1"/>
  <extLst>
    <ext uri="{3A4CF648-6AED-40f4-86FF-DC5316D8AED3}">
      <x14:slicerList>
        <x14:slicer r:id="rId2"/>
      </x14:slicerList>
    </ext>
  </extLst>
</worksheet>
</file>