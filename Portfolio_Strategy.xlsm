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ThisWorkbook" hidePivotFieldList="1"/>
  <mc:AlternateContent xmlns:mc="http://schemas.openxmlformats.org/markup-compatibility/2006">
    <mc:Choice Requires="x15">
      <x15ac:absPath xmlns:x15ac="http://schemas.microsoft.com/office/spreadsheetml/2010/11/ac" url="/Users/macbook/Downloads/"/>
    </mc:Choice>
  </mc:AlternateContent>
  <xr:revisionPtr revIDLastSave="0" documentId="13_ncr:1_{66B59F06-FBC9-C943-A19D-FADFDF405CA9}" xr6:coauthVersionLast="47" xr6:coauthVersionMax="47" xr10:uidLastSave="{00000000-0000-0000-0000-000000000000}"/>
  <bookViews>
    <workbookView xWindow="0" yWindow="600" windowWidth="35840" windowHeight="20060" xr2:uid="{00000000-000D-0000-FFFF-FFFF00000000}"/>
  </bookViews>
  <sheets>
    <sheet name="Assets" sheetId="1" r:id="rId1"/>
    <sheet name="Summary" sheetId="2" r:id="rId2"/>
    <sheet name="Dinamic Analysis" sheetId="4" r:id="rId3"/>
  </sheets>
  <definedNames>
    <definedName name="CAPM_EXPECTED_RETURN">_xludf.LAMBDA(0.034 + Assets!$D$21*(0.085-0.034))</definedName>
    <definedName name="Z_AD1468C3_B0F0_4783_9150_53FFC51E461D_.wvu.FilterData" localSheetId="0" hidden="1">Assets!$A$2:$A$61</definedName>
  </definedNames>
  <calcPr calcId="191029"/>
  <customWorkbookViews>
    <customWorkbookView name="Filtro 1" guid="{AD1468C3-B0F0-4783-9150-53FFC51E461D}" maximized="1" windowWidth="0" windowHeight="0" activeSheetId="0"/>
  </customWorkbookViews>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 l="1"/>
  <c r="I2" i="1" s="1"/>
  <c r="H2" i="1"/>
  <c r="H62" i="1"/>
  <c r="G62" i="1"/>
  <c r="E62" i="1"/>
  <c r="I62" i="1" s="1"/>
  <c r="F20" i="2"/>
  <c r="E6" i="2" a="1"/>
  <c r="E6" i="2" s="1"/>
  <c r="E3" i="1"/>
  <c r="I3" i="1" s="1"/>
  <c r="E4" i="1"/>
  <c r="I4" i="1" s="1"/>
  <c r="E5" i="1"/>
  <c r="I5" i="1" s="1"/>
  <c r="E6" i="1"/>
  <c r="I6" i="1" s="1"/>
  <c r="E7" i="1"/>
  <c r="I7" i="1" s="1"/>
  <c r="E8" i="1"/>
  <c r="I8" i="1" s="1"/>
  <c r="E9" i="1"/>
  <c r="I9" i="1" s="1"/>
  <c r="E10" i="1"/>
  <c r="I10" i="1" s="1"/>
  <c r="E11" i="1"/>
  <c r="I11" i="1" s="1"/>
  <c r="E12" i="1"/>
  <c r="I12" i="1" s="1"/>
  <c r="E13" i="1"/>
  <c r="I13" i="1" s="1"/>
  <c r="E14" i="1"/>
  <c r="I14" i="1" s="1"/>
  <c r="E15" i="1"/>
  <c r="I15" i="1" s="1"/>
  <c r="E16" i="1"/>
  <c r="I16" i="1" s="1"/>
  <c r="E17" i="1"/>
  <c r="I17" i="1" s="1"/>
  <c r="E18" i="1"/>
  <c r="I18" i="1" s="1"/>
  <c r="E19" i="1"/>
  <c r="I19" i="1" s="1"/>
  <c r="E20" i="1"/>
  <c r="I20" i="1" s="1"/>
  <c r="E21" i="1"/>
  <c r="I21" i="1" s="1"/>
  <c r="E22" i="1"/>
  <c r="I22" i="1" s="1"/>
  <c r="E23" i="1"/>
  <c r="I23" i="1" s="1"/>
  <c r="E24" i="1"/>
  <c r="I24" i="1" s="1"/>
  <c r="E25" i="1"/>
  <c r="I25" i="1" s="1"/>
  <c r="E26" i="1"/>
  <c r="I26" i="1" s="1"/>
  <c r="E27" i="1"/>
  <c r="I27" i="1" s="1"/>
  <c r="E28" i="1"/>
  <c r="E29" i="1"/>
  <c r="I29" i="1" s="1"/>
  <c r="E30" i="1"/>
  <c r="I30" i="1" s="1"/>
  <c r="E31" i="1"/>
  <c r="I31" i="1" s="1"/>
  <c r="E32" i="1"/>
  <c r="I32" i="1" s="1"/>
  <c r="E33" i="1"/>
  <c r="I33" i="1" s="1"/>
  <c r="E34" i="1"/>
  <c r="I34" i="1" s="1"/>
  <c r="E35" i="1"/>
  <c r="I35" i="1" s="1"/>
  <c r="E36" i="1"/>
  <c r="I36" i="1" s="1"/>
  <c r="E37" i="1"/>
  <c r="I37" i="1" s="1"/>
  <c r="E38" i="1"/>
  <c r="I38" i="1" s="1"/>
  <c r="E39" i="1"/>
  <c r="I39" i="1" s="1"/>
  <c r="E40" i="1"/>
  <c r="I40" i="1" s="1"/>
  <c r="E41" i="1"/>
  <c r="I41" i="1" s="1"/>
  <c r="E42" i="1"/>
  <c r="I42" i="1" s="1"/>
  <c r="E43" i="1"/>
  <c r="I43" i="1" s="1"/>
  <c r="E44" i="1"/>
  <c r="I44" i="1" s="1"/>
  <c r="E45" i="1"/>
  <c r="I45" i="1" s="1"/>
  <c r="E46" i="1"/>
  <c r="I46" i="1" s="1"/>
  <c r="E47" i="1"/>
  <c r="I47" i="1" s="1"/>
  <c r="E48" i="1"/>
  <c r="I48" i="1" s="1"/>
  <c r="E49" i="1"/>
  <c r="I49" i="1" s="1"/>
  <c r="E50" i="1"/>
  <c r="I50" i="1" s="1"/>
  <c r="E51" i="1"/>
  <c r="I51" i="1" s="1"/>
  <c r="E52" i="1"/>
  <c r="I52" i="1" s="1"/>
  <c r="E53" i="1"/>
  <c r="I53" i="1" s="1"/>
  <c r="E54" i="1"/>
  <c r="I54" i="1" s="1"/>
  <c r="E55" i="1"/>
  <c r="I55" i="1" s="1"/>
  <c r="E56" i="1"/>
  <c r="I56" i="1" s="1"/>
  <c r="E57" i="1"/>
  <c r="I57" i="1" s="1"/>
  <c r="E58" i="1"/>
  <c r="I58" i="1" s="1"/>
  <c r="E59" i="1"/>
  <c r="I59" i="1" s="1"/>
  <c r="E60" i="1"/>
  <c r="I60" i="1" s="1"/>
  <c r="E61" i="1"/>
  <c r="I61" i="1" s="1"/>
  <c r="H25" i="2"/>
  <c r="F26" i="2" s="1"/>
  <c r="D22" i="2"/>
  <c r="D24" i="2" s="1"/>
  <c r="D18" i="2"/>
  <c r="D11" i="2"/>
  <c r="D16" i="2" s="1"/>
  <c r="D9" i="2"/>
  <c r="L3" i="2"/>
  <c r="H61" i="1"/>
  <c r="G61" i="1"/>
  <c r="L62" i="2" s="1"/>
  <c r="H60" i="1"/>
  <c r="G60" i="1"/>
  <c r="L61" i="2" s="1"/>
  <c r="H59" i="1"/>
  <c r="G59" i="1"/>
  <c r="L60" i="2" s="1"/>
  <c r="H58" i="1"/>
  <c r="G58" i="1"/>
  <c r="L59" i="2" s="1"/>
  <c r="H57" i="1"/>
  <c r="G57" i="1"/>
  <c r="L58" i="2" s="1"/>
  <c r="H56" i="1"/>
  <c r="G56" i="1"/>
  <c r="L57" i="2" s="1"/>
  <c r="H55" i="1"/>
  <c r="G55" i="1"/>
  <c r="L56" i="2" s="1"/>
  <c r="H54" i="1"/>
  <c r="G54" i="1"/>
  <c r="L55" i="2" s="1"/>
  <c r="H53" i="1"/>
  <c r="G53" i="1"/>
  <c r="L54" i="2" s="1"/>
  <c r="H52" i="1"/>
  <c r="G52" i="1"/>
  <c r="L53" i="2" s="1"/>
  <c r="H51" i="1"/>
  <c r="G51" i="1"/>
  <c r="L52" i="2" s="1"/>
  <c r="H50" i="1"/>
  <c r="G50" i="1"/>
  <c r="L51" i="2" s="1"/>
  <c r="H49" i="1"/>
  <c r="G49" i="1"/>
  <c r="L50" i="2" s="1"/>
  <c r="H48" i="1"/>
  <c r="G48" i="1"/>
  <c r="L49" i="2" s="1"/>
  <c r="H47" i="1"/>
  <c r="G47" i="1"/>
  <c r="L48" i="2" s="1"/>
  <c r="H46" i="1"/>
  <c r="G46" i="1"/>
  <c r="L47" i="2" s="1"/>
  <c r="H45" i="1"/>
  <c r="G45" i="1"/>
  <c r="L46" i="2" s="1"/>
  <c r="G44" i="1"/>
  <c r="L45" i="2" s="1"/>
  <c r="C44" i="1"/>
  <c r="H43" i="1"/>
  <c r="D43" i="1"/>
  <c r="D19" i="2" s="1"/>
  <c r="H42" i="1"/>
  <c r="G42" i="1"/>
  <c r="L43" i="2" s="1"/>
  <c r="H41" i="1"/>
  <c r="G41" i="1"/>
  <c r="L42" i="2" s="1"/>
  <c r="H40" i="1"/>
  <c r="G40" i="1"/>
  <c r="L41" i="2" s="1"/>
  <c r="H39" i="1"/>
  <c r="G39" i="1"/>
  <c r="L40" i="2" s="1"/>
  <c r="H38" i="1"/>
  <c r="G38" i="1"/>
  <c r="L39" i="2" s="1"/>
  <c r="H37" i="1"/>
  <c r="G37" i="1"/>
  <c r="L38" i="2" s="1"/>
  <c r="H36" i="1"/>
  <c r="G36" i="1"/>
  <c r="L37" i="2" s="1"/>
  <c r="H35" i="1"/>
  <c r="G35" i="1"/>
  <c r="L36" i="2" s="1"/>
  <c r="H34" i="1"/>
  <c r="G34" i="1"/>
  <c r="L35" i="2" s="1"/>
  <c r="H33" i="1"/>
  <c r="G33" i="1"/>
  <c r="L34" i="2" s="1"/>
  <c r="H32" i="1"/>
  <c r="G32" i="1"/>
  <c r="L33" i="2" s="1"/>
  <c r="H31" i="1"/>
  <c r="G31" i="1"/>
  <c r="L32" i="2" s="1"/>
  <c r="H30" i="1"/>
  <c r="G30" i="1"/>
  <c r="L31" i="2" s="1"/>
  <c r="H29" i="1"/>
  <c r="G29" i="1"/>
  <c r="L30" i="2" s="1"/>
  <c r="H28" i="1"/>
  <c r="G28" i="1"/>
  <c r="L29" i="2" s="1"/>
  <c r="I28" i="1"/>
  <c r="H27" i="1"/>
  <c r="G27" i="1"/>
  <c r="L28" i="2" s="1"/>
  <c r="H26" i="1"/>
  <c r="G26" i="1"/>
  <c r="L27" i="2" s="1"/>
  <c r="H25" i="1"/>
  <c r="G25" i="1"/>
  <c r="L26" i="2" s="1"/>
  <c r="H24" i="1"/>
  <c r="G24" i="1"/>
  <c r="L25" i="2" s="1"/>
  <c r="H23" i="1"/>
  <c r="G23" i="1"/>
  <c r="L24" i="2" s="1"/>
  <c r="H22" i="1"/>
  <c r="G22" i="1"/>
  <c r="L23" i="2" s="1"/>
  <c r="H21" i="1"/>
  <c r="G21" i="1"/>
  <c r="L22" i="2" s="1"/>
  <c r="H20" i="1"/>
  <c r="G20" i="1"/>
  <c r="L21" i="2" s="1"/>
  <c r="H19" i="1"/>
  <c r="G19" i="1"/>
  <c r="L20" i="2" s="1"/>
  <c r="H18" i="1"/>
  <c r="G18" i="1"/>
  <c r="L19" i="2" s="1"/>
  <c r="H17" i="1"/>
  <c r="G17" i="1"/>
  <c r="L18" i="2" s="1"/>
  <c r="H16" i="1"/>
  <c r="G16" i="1"/>
  <c r="L17" i="2" s="1"/>
  <c r="H15" i="1"/>
  <c r="G15" i="1"/>
  <c r="L16" i="2" s="1"/>
  <c r="H14" i="1"/>
  <c r="G14" i="1"/>
  <c r="L15" i="2" s="1"/>
  <c r="G13" i="1"/>
  <c r="L14" i="2" s="1"/>
  <c r="C13" i="1"/>
  <c r="H13" i="1" s="1"/>
  <c r="H12" i="1"/>
  <c r="G12" i="1"/>
  <c r="L13" i="2" s="1"/>
  <c r="H11" i="1"/>
  <c r="G11" i="1"/>
  <c r="L12" i="2" s="1"/>
  <c r="H10" i="1"/>
  <c r="G10" i="1"/>
  <c r="L11" i="2" s="1"/>
  <c r="H9" i="1"/>
  <c r="G9" i="1"/>
  <c r="L10" i="2" s="1"/>
  <c r="H8" i="1"/>
  <c r="G8" i="1"/>
  <c r="L9" i="2" s="1"/>
  <c r="H7" i="1"/>
  <c r="G7" i="1"/>
  <c r="L8" i="2" s="1"/>
  <c r="H6" i="1"/>
  <c r="G6" i="1"/>
  <c r="L7" i="2" s="1"/>
  <c r="H5" i="1"/>
  <c r="G5" i="1"/>
  <c r="L6" i="2" s="1"/>
  <c r="H4" i="1"/>
  <c r="G4" i="1"/>
  <c r="L5" i="2" s="1"/>
  <c r="H3" i="1"/>
  <c r="G3" i="1"/>
  <c r="L4" i="2" s="1"/>
  <c r="D32" i="2" a="1"/>
  <c r="D10" i="2" l="1"/>
  <c r="G43" i="1"/>
  <c r="L44" i="2" s="1"/>
  <c r="D32" i="2"/>
  <c r="N2" i="2"/>
  <c r="D17" i="2"/>
  <c r="D5" i="2"/>
  <c r="H44" i="1"/>
  <c r="D3" i="2"/>
  <c r="P2" i="2" l="1"/>
  <c r="P4" i="2" s="1"/>
  <c r="R4" i="2" s="1"/>
  <c r="D4" i="2" s="1"/>
  <c r="R2" i="2" l="1"/>
  <c r="D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<sst xmlns="http://schemas.openxmlformats.org/spreadsheetml/2006/main" count="234" uniqueCount="113">
  <si>
    <t>Asset Name</t>
  </si>
  <si>
    <t>Expected Return (%)</t>
  </si>
  <si>
    <t>Volatility (%)</t>
  </si>
  <si>
    <t>Beta</t>
  </si>
  <si>
    <t>Weight (%)</t>
  </si>
  <si>
    <t>Investment</t>
  </si>
  <si>
    <t>CAPM Expected Return</t>
  </si>
  <si>
    <t>Variance</t>
  </si>
  <si>
    <t>Weights Squared</t>
  </si>
  <si>
    <t>Barclays</t>
  </si>
  <si>
    <t>DHT</t>
  </si>
  <si>
    <t>O (Realty Income Corp)</t>
  </si>
  <si>
    <t>Societe Generale (GLE.PA)</t>
  </si>
  <si>
    <t>NWG.L</t>
  </si>
  <si>
    <t>03993.HK (China Molybdenum Company)</t>
  </si>
  <si>
    <t>Acciona</t>
  </si>
  <si>
    <t>Citigroup</t>
  </si>
  <si>
    <t>Volkswagen</t>
  </si>
  <si>
    <t>Merlin Properties</t>
  </si>
  <si>
    <t>WBA</t>
  </si>
  <si>
    <t>BAC</t>
  </si>
  <si>
    <t>BNS</t>
  </si>
  <si>
    <t>2899.hk (Zijin Mining Group)</t>
  </si>
  <si>
    <t>T</t>
  </si>
  <si>
    <t>BMO</t>
  </si>
  <si>
    <t>ENB</t>
  </si>
  <si>
    <t>GILD</t>
  </si>
  <si>
    <t>IRS (Argentinian IRSA)</t>
  </si>
  <si>
    <t>TLT (iShares 20+ Year Treasuries ETF)</t>
  </si>
  <si>
    <t>Mapfre (MAP.MC)</t>
  </si>
  <si>
    <t>DOCS.L (Dr. Hopkins)</t>
  </si>
  <si>
    <t>Vodafone (US)</t>
  </si>
  <si>
    <t>SDGR</t>
  </si>
  <si>
    <t>Acerinox</t>
  </si>
  <si>
    <t>Renault</t>
  </si>
  <si>
    <t>Danone (BN.PA)</t>
  </si>
  <si>
    <t>Vodafone (British London Stock Exchange)</t>
  </si>
  <si>
    <t>Lloyd's (LLOY.L)</t>
  </si>
  <si>
    <t>BNP Paribas</t>
  </si>
  <si>
    <t>ENG.MC (Enagás)</t>
  </si>
  <si>
    <t>Repsol</t>
  </si>
  <si>
    <t>MP</t>
  </si>
  <si>
    <t>GLEN.L (Glencore)</t>
  </si>
  <si>
    <t>TD</t>
  </si>
  <si>
    <t>FCC.MC + IMC.MC (Inmocemento)</t>
  </si>
  <si>
    <t>TRMD-A.CO (Torm PLC)</t>
  </si>
  <si>
    <t>Unicaja</t>
  </si>
  <si>
    <t>Alibaba (9988.HK)</t>
  </si>
  <si>
    <t>OHLA.MC (OHL Spanish)</t>
  </si>
  <si>
    <t>Pfizer</t>
  </si>
  <si>
    <t>Telefonica (Spanish stock exchange)</t>
  </si>
  <si>
    <t>LYG (Lloyd's Banking)</t>
  </si>
  <si>
    <t>SDR.L (Schroders)</t>
  </si>
  <si>
    <t>SHEL Plc ADR</t>
  </si>
  <si>
    <t>ISP.MI (Intesa Sanpaolo)</t>
  </si>
  <si>
    <t>OXY</t>
  </si>
  <si>
    <t>P911.DE</t>
  </si>
  <si>
    <t>RIO</t>
  </si>
  <si>
    <t>KHC</t>
  </si>
  <si>
    <t>AGG (iShares Core US Aggregate Bond ETF)</t>
  </si>
  <si>
    <t>Akzo Nobel (AKZA.NV)</t>
  </si>
  <si>
    <t>PAAS</t>
  </si>
  <si>
    <t>DB</t>
  </si>
  <si>
    <t>PDM</t>
  </si>
  <si>
    <t>BABA</t>
  </si>
  <si>
    <t>SAN.MC</t>
  </si>
  <si>
    <t>SAVA</t>
  </si>
  <si>
    <t>BOXL</t>
  </si>
  <si>
    <t>GRF.MC</t>
  </si>
  <si>
    <t>EVFM</t>
  </si>
  <si>
    <t>Metric</t>
  </si>
  <si>
    <t>Value</t>
  </si>
  <si>
    <t>Comparison of CAPM vs Analysts (Tradingview)</t>
  </si>
  <si>
    <t>Portfolio VARIANCE</t>
  </si>
  <si>
    <t>Portfolio SD / Volatility</t>
  </si>
  <si>
    <t>Explicación: el dato del retorno esperado del mercado (Rm)utilizado ha sido 8,5% y el risk-free rate 3,4%. Al haber infraestimado un poco los valores (son estimaciones verídicas de datos factuales y predicciones reales para 2025, pero las hay más altas también), podría entenderse que las predicciones de los analistas fueran más altas. Por tanto, creamos esta columna de comparaciónes para ver anomalías, que sería el caso donde CAPM estime más retorno que los analistas. Estas empresas "anómalas" podrían tener algún tipo de problema en el futuro y se aconseja incluso desinvertir parcialmente.</t>
  </si>
  <si>
    <t xml:space="preserve"> #anomalies =</t>
  </si>
  <si>
    <t>Case A: if they weren't correlated (this formula assumes Pearson's correlation coefficient 𝛒 is 0). That's why it is so low</t>
  </si>
  <si>
    <t>Portfolio Expected Return (%)</t>
  </si>
  <si>
    <t>Portfolio Risk (Volatility %)</t>
  </si>
  <si>
    <t>Case B: admitting the obvious correlations (assuming a 30% average correlation, which is actually rounding it up and nearly only happens at high-volatility times like crises or crashes), and using the factorial for the 62 assets [ 62! / (60! * 2!) ] , which is 1891. In any case, this is not super exact due to having assumed the Pearson coefficient and having used average weights instead of actually associating each Pearson to each weight (higher or lower). Therefore, the real variance of the portfolio could vary from this.</t>
  </si>
  <si>
    <t>Portfolio Beta</t>
  </si>
  <si>
    <t>(Weighted average Beta)</t>
  </si>
  <si>
    <t>Sharpe Ratio</t>
  </si>
  <si>
    <t>Unweighted average E(r)</t>
  </si>
  <si>
    <t>Unweighted average VOL</t>
  </si>
  <si>
    <t>Weighted average VOLATILITY</t>
  </si>
  <si>
    <t>Average CAPM E(r) (%) -&gt;</t>
  </si>
  <si>
    <t>Average asset weight</t>
  </si>
  <si>
    <t>Average investment/asset</t>
  </si>
  <si>
    <t>Average Beta (unweighted)</t>
  </si>
  <si>
    <t>Average asset COVARIANCE (𝛒*𝛔1*𝛔2) =</t>
  </si>
  <si>
    <t>(supposing a 30% Pearson's correlation coefficient)</t>
  </si>
  <si>
    <t>Total invested=</t>
  </si>
  <si>
    <t>CV (as of 01/12/2024) =</t>
  </si>
  <si>
    <t>Carrying profit (%) =</t>
  </si>
  <si>
    <t>Total profit (considering an exchange rate of 1,062) (%) =</t>
  </si>
  <si>
    <t>Total annualized profit (as of 01/12/24) (%) =</t>
  </si>
  <si>
    <t>Actual return for 2025 (*December 2024 included*) =</t>
  </si>
  <si>
    <t>ChatGPT formula</t>
  </si>
  <si>
    <t>Row Labels</t>
  </si>
  <si>
    <t>Grand Total</t>
  </si>
  <si>
    <t>Sum of Expected Return (%)</t>
  </si>
  <si>
    <t>Sum of Volatility (%)</t>
  </si>
  <si>
    <t>Sum of Beta</t>
  </si>
  <si>
    <t>Sum of Weight (%)</t>
  </si>
  <si>
    <t>Sum of Investment</t>
  </si>
  <si>
    <t>Sum of CAPM Expected Return</t>
  </si>
  <si>
    <t>Sum of Variance</t>
  </si>
  <si>
    <t>Sum of Weights Squared</t>
  </si>
  <si>
    <t>40.93%%</t>
  </si>
  <si>
    <t>Price Target</t>
  </si>
  <si>
    <t>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</si>
</sst>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scheme val="minor"/>
    </font>
    <font>
      <b/>
      <sz val="11"/>
      <color theme="1"/>
      <name val="Calibri"/>
      <family val="2"/>
    </font>
    <font>
      <sz val="11"/>
      <color theme="1"/>
      <name val="Calibri"/>
      <family val="2"/>
      <scheme val="minor"/>
    </font>
    <font>
      <sz val="11"/>
      <color theme="1"/>
      <name val="Cabin"/>
    </font>
    <font>
      <sz val="12"/>
      <color rgb="FF000000"/>
      <name val="Arvo"/>
    </font>
    <font>
      <sz val="11"/>
      <color theme="1"/>
      <name val="Arvo"/>
    </font>
    <font>
      <sz val="9"/>
      <color rgb="FF000000"/>
      <name val="&quot;Google Sans Mono&quot;"/>
    </font>
    <font>
      <sz val="11"/>
      <color rgb="FF000000"/>
      <name val="Calibri"/>
      <family val="2"/>
      <scheme val="minor"/>
    </font>
    <font>
      <sz val="12"/>
      <color theme="1"/>
      <name val="Arvo"/>
    </font>
    <font>
      <sz val="11"/>
      <color rgb="FF93C47D"/>
      <name val="Calibri"/>
      <family val="2"/>
      <scheme val="minor"/>
    </font>
    <font>
      <sz val="11"/>
      <color rgb="FFEA9999"/>
      <name val="Calibri"/>
      <family val="2"/>
      <scheme val="minor"/>
    </font>
    <font>
      <sz val="11"/>
      <color theme="1"/>
      <name val="Arvo"/>
    </font>
    <font>
      <sz val="11"/>
      <color rgb="FF000000"/>
      <name val="Arvo"/>
    </font>
    <font>
      <b/>
      <sz val="12"/>
      <color rgb="FF000000"/>
      <name val="Arvo"/>
    </font>
    <font>
      <sz val="11"/>
      <color theme="1"/>
      <name val="Calibri"/>
      <family val="2"/>
      <scheme val="minor"/>
    </font>
    <font>
      <b/>
      <sz val="11"/>
      <name val="Calibri"/>
      <family val="2"/>
    </font>
    <font>
      <sz val="11"/>
      <name val="Calibri"/>
      <family val="2"/>
      <scheme val="minor"/>
    </font>
    <font>
      <sz val="11"/>
      <name val="Cabin"/>
    </font>
    <font>
      <sz val="12"/>
      <name val="Arvo"/>
    </font>
  </fonts>
  <fills count="11">
    <fill>
      <patternFill patternType="none"/>
    </fill>
    <fill>
      <patternFill patternType="gray125"/>
    </fill>
    <fill>
      <patternFill patternType="solid">
        <fgColor rgb="FFD9D2E9"/>
        <bgColor rgb="FFD9D2E9"/>
      </patternFill>
    </fill>
    <fill>
      <patternFill patternType="solid">
        <fgColor rgb="FF6D9EEB"/>
        <bgColor rgb="FF6D9EEB"/>
      </patternFill>
    </fill>
    <fill>
      <patternFill patternType="solid">
        <fgColor rgb="FFFF9900"/>
        <bgColor rgb="FFFF9900"/>
      </patternFill>
    </fill>
    <fill>
      <patternFill patternType="solid">
        <fgColor rgb="FF93C47D"/>
        <bgColor rgb="FF93C47D"/>
      </patternFill>
    </fill>
    <fill>
      <patternFill patternType="solid">
        <fgColor rgb="FFD9EAD3"/>
        <bgColor rgb="FFD9EAD3"/>
      </patternFill>
    </fill>
    <fill>
      <patternFill patternType="solid">
        <fgColor rgb="FFF9CB9C"/>
        <bgColor rgb="FFF9CB9C"/>
      </patternFill>
    </fill>
    <fill>
      <patternFill patternType="solid">
        <fgColor rgb="FFB7E1CD"/>
        <bgColor rgb="FFB7E1CD"/>
      </patternFill>
    </fill>
    <fill>
      <patternFill patternType="solid">
        <fgColor theme="8"/>
        <bgColor theme="8"/>
      </patternFill>
    </fill>
    <fill>
      <patternFill patternType="solid">
        <fgColor theme="7" tint="0.59999389629810485"/>
        <bgColor indexed="64"/>
      </patternFill>
    </fill>
  </fills>
  <borders count="13">
    <border>
      <left/>
      <right/>
      <top/>
      <bottom/>
      <diagonal/>
    </border>
    <border>
      <left style="thin">
        <color rgb="FF000000"/>
      </left>
      <right style="thin">
        <color rgb="FF000000"/>
      </right>
      <top style="thin">
        <color rgb="FF000000"/>
      </top>
      <bottom style="thin">
        <color rgb="FF000000"/>
      </bottom>
      <diagonal/>
    </border>
    <border>
      <left style="thin">
        <color rgb="FF4A86E8"/>
      </left>
      <right style="thin">
        <color rgb="FF4A86E8"/>
      </right>
      <top style="thin">
        <color rgb="FF4A86E8"/>
      </top>
      <bottom style="thin">
        <color rgb="FF4A86E8"/>
      </bottom>
      <diagonal/>
    </border>
    <border>
      <left style="thin">
        <color rgb="FF00000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4" fillId="0" borderId="0" applyFont="0" applyFill="0" applyBorder="0" applyAlignment="0" applyProtection="0"/>
  </cellStyleXfs>
  <cellXfs count="58">
    <xf numFmtId="0" fontId="0" fillId="0" borderId="0" xfId="0"/>
    <xf numFmtId="0" fontId="4" fillId="0" borderId="0" xfId="0" applyFont="1" applyAlignment="1">
      <alignment horizontal="center"/>
    </xf>
    <xf numFmtId="0" fontId="3" fillId="0" borderId="0" xfId="0" applyFont="1"/>
    <xf numFmtId="0" fontId="5" fillId="0" borderId="0" xfId="0" applyFont="1" applyAlignment="1">
      <alignment horizontal="center"/>
    </xf>
    <xf numFmtId="0" fontId="5" fillId="0" borderId="0" xfId="0" applyFont="1"/>
    <xf numFmtId="0" fontId="2" fillId="0" borderId="0" xfId="0" applyFont="1" applyAlignment="1">
      <alignment horizontal="center"/>
    </xf>
    <xf numFmtId="0" fontId="1" fillId="0" borderId="1" xfId="0" applyFont="1" applyBorder="1" applyAlignment="1">
      <alignment horizontal="left" vertical="top"/>
    </xf>
    <xf numFmtId="0" fontId="1" fillId="0" borderId="1" xfId="0" applyFont="1" applyBorder="1" applyAlignment="1">
      <alignment horizontal="center" vertical="top"/>
    </xf>
    <xf numFmtId="0" fontId="2" fillId="3" borderId="0" xfId="0" applyFont="1" applyFill="1" applyAlignment="1">
      <alignment horizontal="center"/>
    </xf>
    <xf numFmtId="0" fontId="2" fillId="4" borderId="0" xfId="0" applyFont="1" applyFill="1" applyAlignment="1">
      <alignment horizontal="center"/>
    </xf>
    <xf numFmtId="0" fontId="2" fillId="5" borderId="0" xfId="0" applyFont="1" applyFill="1"/>
    <xf numFmtId="0" fontId="1" fillId="0" borderId="0" xfId="0" applyFont="1" applyAlignment="1">
      <alignment horizontal="left" vertical="top"/>
    </xf>
    <xf numFmtId="0" fontId="1" fillId="0" borderId="0" xfId="0" applyFont="1" applyAlignment="1">
      <alignment horizontal="center" vertical="top"/>
    </xf>
    <xf numFmtId="0" fontId="2" fillId="0" borderId="0" xfId="0" applyFont="1"/>
    <xf numFmtId="0" fontId="2" fillId="0" borderId="0" xfId="0" applyFont="1" applyAlignment="1">
      <alignment horizontal="right"/>
    </xf>
    <xf numFmtId="0" fontId="6" fillId="0" borderId="0" xfId="0" applyFont="1" applyAlignment="1">
      <alignment horizontal="left"/>
    </xf>
    <xf numFmtId="0" fontId="2" fillId="0" borderId="0" xfId="0" applyFont="1" applyAlignment="1">
      <alignment horizontal="left"/>
    </xf>
    <xf numFmtId="0" fontId="7" fillId="0" borderId="0" xfId="0" applyFont="1"/>
    <xf numFmtId="0" fontId="8" fillId="0" borderId="0" xfId="0" applyFont="1" applyAlignment="1">
      <alignment horizontal="right"/>
    </xf>
    <xf numFmtId="0" fontId="2" fillId="0" borderId="2" xfId="0" applyFont="1" applyBorder="1" applyAlignment="1">
      <alignment horizontal="center"/>
    </xf>
    <xf numFmtId="0" fontId="8" fillId="0" borderId="0" xfId="0" applyFont="1"/>
    <xf numFmtId="0" fontId="9" fillId="0" borderId="0" xfId="0" applyFont="1"/>
    <xf numFmtId="0" fontId="10" fillId="0" borderId="0" xfId="0" applyFont="1"/>
    <xf numFmtId="0" fontId="4" fillId="0" borderId="0" xfId="0" applyFont="1" applyAlignment="1">
      <alignment horizontal="left"/>
    </xf>
    <xf numFmtId="0" fontId="5"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11" fillId="0" borderId="0" xfId="0" applyFont="1"/>
    <xf numFmtId="0" fontId="12" fillId="0" borderId="0" xfId="0" applyFont="1" applyAlignment="1">
      <alignment horizontal="center"/>
    </xf>
    <xf numFmtId="0" fontId="8" fillId="0" borderId="0" xfId="0" applyFont="1" applyAlignment="1">
      <alignment horizontal="center"/>
    </xf>
    <xf numFmtId="0" fontId="13" fillId="0" borderId="0" xfId="0" applyFont="1" applyAlignment="1">
      <alignment horizontal="center"/>
    </xf>
    <xf numFmtId="0" fontId="8" fillId="0" borderId="3" xfId="0" applyFont="1" applyBorder="1" applyAlignment="1">
      <alignment horizontal="left"/>
    </xf>
    <xf numFmtId="0" fontId="8" fillId="6" borderId="0" xfId="0" applyFont="1" applyFill="1"/>
    <xf numFmtId="0" fontId="8" fillId="7" borderId="0" xfId="0" applyFont="1" applyFill="1" applyAlignment="1">
      <alignment horizontal="center"/>
    </xf>
    <xf numFmtId="0" fontId="8" fillId="8" borderId="0" xfId="0" applyFont="1" applyFill="1" applyAlignment="1">
      <alignment horizontal="center"/>
    </xf>
    <xf numFmtId="0" fontId="5" fillId="9" borderId="0" xfId="0" applyFont="1" applyFill="1" applyAlignment="1">
      <alignment horizontal="left"/>
    </xf>
    <xf numFmtId="10" fontId="0" fillId="0" borderId="0" xfId="1" applyNumberFormat="1" applyFont="1"/>
    <xf numFmtId="10" fontId="5" fillId="0" borderId="0" xfId="1" applyNumberFormat="1" applyFont="1"/>
    <xf numFmtId="10" fontId="5" fillId="0" borderId="0" xfId="1" applyNumberFormat="1" applyFont="1" applyAlignment="1">
      <alignment horizontal="center"/>
    </xf>
    <xf numFmtId="10" fontId="2" fillId="0" borderId="0" xfId="1" applyNumberFormat="1" applyFont="1" applyAlignment="1">
      <alignment horizontal="center"/>
    </xf>
    <xf numFmtId="10" fontId="18" fillId="0" borderId="4" xfId="1" applyNumberFormat="1" applyFont="1" applyBorder="1" applyAlignment="1">
      <alignment horizontal="center" vertical="center"/>
    </xf>
    <xf numFmtId="0" fontId="18" fillId="0" borderId="4" xfId="0" applyFont="1" applyBorder="1" applyAlignment="1">
      <alignment horizontal="center" vertical="center"/>
    </xf>
    <xf numFmtId="0" fontId="18" fillId="0" borderId="6" xfId="0" applyFont="1" applyBorder="1" applyAlignment="1">
      <alignment horizontal="center" vertical="center"/>
    </xf>
    <xf numFmtId="0" fontId="17" fillId="2" borderId="5" xfId="0" applyFont="1" applyFill="1" applyBorder="1" applyAlignment="1">
      <alignment horizontal="center" vertical="center"/>
    </xf>
    <xf numFmtId="0" fontId="17" fillId="10" borderId="10" xfId="0" applyFont="1" applyFill="1" applyBorder="1" applyAlignment="1">
      <alignment horizontal="center" vertical="center"/>
    </xf>
    <xf numFmtId="9" fontId="18" fillId="0" borderId="10" xfId="1" applyFont="1" applyFill="1" applyBorder="1" applyAlignment="1">
      <alignment horizontal="center" vertical="center"/>
    </xf>
    <xf numFmtId="10" fontId="18" fillId="0" borderId="11" xfId="1" applyNumberFormat="1" applyFont="1" applyFill="1" applyBorder="1" applyAlignment="1">
      <alignment horizontal="center"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5" fillId="0" borderId="7" xfId="0" applyFont="1" applyBorder="1" applyAlignment="1">
      <alignment horizontal="center" vertical="top"/>
    </xf>
    <xf numFmtId="10" fontId="15" fillId="0" borderId="8" xfId="1" applyNumberFormat="1" applyFont="1" applyBorder="1" applyAlignment="1">
      <alignment horizontal="center" vertical="top"/>
    </xf>
    <xf numFmtId="0" fontId="15" fillId="0" borderId="8" xfId="0" applyFont="1" applyBorder="1" applyAlignment="1">
      <alignment horizontal="center" vertical="top"/>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0" fillId="0" borderId="0" xfId="0" applyAlignment="1">
      <alignment horizontal="center"/>
    </xf>
    <xf numFmtId="0" fontId="0" fillId="0" borderId="0" xfId="0" pivotButton="1" applyAlignment="1">
      <alignment horizontal="center"/>
    </xf>
    <xf numFmtId="10" fontId="0" fillId="0" borderId="0" xfId="0" applyNumberFormat="1" applyAlignment="1">
      <alignment horizontal="center"/>
    </xf>
    <xf numFmtId="0" fontId="18" fillId="0" borderId="8" xfId="0" applyFont="1" applyBorder="1" applyAlignment="1">
      <alignment horizontal="center" vertical="center"/>
    </xf>
  </cellXfs>
  <cellStyles count="2">
    <cellStyle name="Normal" xfId="0" builtinId="0"/>
    <cellStyle name="Per cent" xfId="1" builtinId="5"/>
  </cellStyles>
  <dxfs count="23">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rgb="FF980000"/>
          <bgColor rgb="FF980000"/>
        </patternFill>
      </fill>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numFmt numFmtId="1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numFmt numFmtId="1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vo"/>
        <scheme val="none"/>
      </font>
      <numFmt numFmtId="1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bin"/>
        <scheme val="none"/>
      </font>
      <fill>
        <patternFill patternType="solid">
          <fgColor rgb="FFD9D2E9"/>
          <bgColor rgb="FFD9D2E9"/>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vo"/>
        <scheme val="none"/>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Types" Target="richData/rdRichValueTypes.xml"/><Relationship Id="rId5" Type="http://schemas.openxmlformats.org/officeDocument/2006/relationships/theme" Target="theme/theme1.xml"/><Relationship Id="rId10" Type="http://schemas.microsoft.com/office/2017/06/relationships/rdRichValueStructure" Target="richData/rdrichvaluestructure.xml"/><Relationship Id="rId4" Type="http://schemas.openxmlformats.org/officeDocument/2006/relationships/pivotCacheDefinition" Target="pivotCache/pivotCacheDefinition1.xml"/><Relationship Id="rId9" Type="http://schemas.microsoft.com/office/2017/06/relationships/rdRichValue" Target="richData/rdrichvalue.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cBook" refreshedDate="46109.993848611113" createdVersion="8" refreshedVersion="8" minRefreshableVersion="3" recordCount="61" xr:uid="{4A4E8447-601E-A34F-AD3F-8D392D024E7D}">
  <cacheSource type="worksheet">
    <worksheetSource name="Table8"/>
  </cacheSource>
  <cacheFields count="9">
    <cacheField name="Asset Name" numFmtId="0">
      <sharedItems count="61">
        <s v="Barclays"/>
        <s v="WBA"/>
        <s v="Volkswagen"/>
        <s v="Vodafone (US)"/>
        <s v="Vodafone (British London Stock Exchange)"/>
        <s v="Unicaja"/>
        <s v="TRMD-A.CO (Torm PLC)"/>
        <s v="TLT (iShares 20+ Year Treasuries ETF)"/>
        <s v="Telefonica (Spanish stock exchange)"/>
        <s v="TD"/>
        <s v="T"/>
        <s v="Societe Generale (GLE.PA)"/>
        <s v="SHEL Plc ADR"/>
        <s v="SDR.L (Schroders)"/>
        <s v="SDGR"/>
        <s v="SAVA"/>
        <s v="SAN.MC"/>
        <s v="RIO"/>
        <s v="Repsol"/>
        <s v="Renault"/>
        <s v="Pfizer"/>
        <s v="PDM"/>
        <s v="PAAS"/>
        <s v="P911.DE"/>
        <s v="OXY"/>
        <s v="OHLA.MC (OHL Spanish)"/>
        <s v="O (Realty Income Corp)"/>
        <s v="NWG.L"/>
        <s v="MP"/>
        <s v="Merlin Properties"/>
        <s v="Mapfre (MAP.MC)"/>
        <s v="LYG (Lloyd's Banking)"/>
        <s v="Lloyd's (LLOY.L)"/>
        <s v="KHC"/>
        <s v="ISP.MI (Intesa Sanpaolo)"/>
        <s v="IRS (Argentinian IRSA)"/>
        <s v="GRF.MC"/>
        <s v="GLEN.L (Glencore)"/>
        <s v="GILD"/>
        <s v="FCC.MC + IMC.MC (Inmocemento)"/>
        <s v="ENG.MC (Enagás)"/>
        <s v="ENB"/>
        <s v="DOCS.L (Dr. Hopkins)"/>
        <s v="DHT"/>
        <s v="DB"/>
        <s v="Danone (BN.PA)"/>
        <s v="Citigroup"/>
        <s v="BOXL"/>
        <s v="BNS"/>
        <s v="BNP Paribas"/>
        <s v="BMO"/>
        <s v="BAC"/>
        <s v="BABA"/>
        <s v="Alibaba (9988.HK)"/>
        <s v="Akzo Nobel (AKZA.NV)"/>
        <s v="AGG (iShares Core US Aggregate Bond ETF)"/>
        <s v="Acerinox"/>
        <s v="Acciona"/>
        <s v="2899.hk (Zijin Mining Group)"/>
        <s v="03993.HK (China Molybdenum Company)"/>
        <s v="EVFM"/>
      </sharedItems>
    </cacheField>
    <cacheField name="Expected Return (%)" numFmtId="0">
      <sharedItems containsSemiMixedTypes="0" containsString="0" containsNumber="1" minValue="-0.12429999999999999" maxValue="14.3682"/>
    </cacheField>
    <cacheField name="Volatility (%)" numFmtId="10">
      <sharedItems containsSemiMixedTypes="0" containsString="0" containsNumber="1" minValue="1.4500000000000001E-2" maxValue="0.73299999999999998"/>
    </cacheField>
    <cacheField name="Beta" numFmtId="0">
      <sharedItems containsSemiMixedTypes="0" containsString="0" containsNumber="1" minValue="-0.69" maxValue="2.23"/>
    </cacheField>
    <cacheField name="Weight (%)" numFmtId="10">
      <sharedItems containsSemiMixedTypes="0" containsString="0" containsNumber="1" minValue="6.5487053615621458E-4" maxValue="7.4262445713009342E-2"/>
    </cacheField>
    <cacheField name="Investment" numFmtId="0">
      <sharedItems containsSemiMixedTypes="0" containsString="0" containsNumber="1" minValue="10.32" maxValue="1170.29"/>
    </cacheField>
    <cacheField name="CAPM Expected Return" numFmtId="0">
      <sharedItems containsSemiMixedTypes="0" containsString="0" containsNumber="1" minValue="-1.1899999999999966E-3" maxValue="0.14773000000000003"/>
    </cacheField>
    <cacheField name="Variance" numFmtId="0">
      <sharedItems containsSemiMixedTypes="0" containsString="0" containsNumber="1" minValue="2.1025000000000001E-4" maxValue="0.53728900000000002"/>
    </cacheField>
    <cacheField name="Weights Squared" numFmtId="0">
      <sharedItems containsSemiMixedTypes="0" containsString="0" containsNumber="1" minValue="4.2885541912552795E-7" maxValue="5.51491084327766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n v="0.12520000000000001"/>
    <n v="0.28000000000000003"/>
    <n v="1.2"/>
    <n v="3.4901046016077332E-2"/>
    <n v="550"/>
    <n v="9.5200000000000007E-2"/>
    <n v="7.8400000000000011E-2"/>
    <n v="1.2180830130163473E-3"/>
  </r>
  <r>
    <x v="1"/>
    <n v="0.37730000000000002"/>
    <n v="0.36380000000000001"/>
    <n v="1.05"/>
    <n v="5.5940031119041757E-2"/>
    <n v="881.55"/>
    <n v="8.7550000000000017E-2"/>
    <n v="0.13235044000000001"/>
    <n v="3.1292870815993602E-3"/>
  </r>
  <r>
    <x v="2"/>
    <n v="9.2899999999999996E-2"/>
    <n v="0.17"/>
    <n v="1"/>
    <n v="5.0258775392097395E-2"/>
    <n v="792.02"/>
    <n v="8.5000000000000006E-2"/>
    <n v="2.8900000000000006E-2"/>
    <n v="2.5259445039132948E-3"/>
  </r>
  <r>
    <x v="3"/>
    <n v="0.2727"/>
    <n v="0.3624"/>
    <n v="1.3"/>
    <n v="5.3746341735813045E-2"/>
    <n v="846.98"/>
    <n v="0.10030000000000001"/>
    <n v="0.13133375999999999"/>
    <n v="2.8886692499827992E-3"/>
  </r>
  <r>
    <x v="4"/>
    <n v="0.1391"/>
    <n v="0.43230000000000002"/>
    <n v="1.4"/>
    <n v="2.7830094093220063E-2"/>
    <n v="438.57"/>
    <n v="0.10540000000000001"/>
    <n v="0.18688329000000001"/>
    <n v="7.7451413723748225E-4"/>
  </r>
  <r>
    <x v="5"/>
    <n v="0.37759999999999999"/>
    <n v="0.46"/>
    <n v="1.33"/>
    <n v="3.0242073655167515E-2"/>
    <n v="476.58"/>
    <n v="0.10183000000000002"/>
    <n v="0.21160000000000001"/>
    <n v="9.1458301896457704E-4"/>
  </r>
  <r>
    <x v="6"/>
    <n v="0.25600000000000001"/>
    <n v="0.22"/>
    <n v="0.73"/>
    <n v="3.8646245535838938E-2"/>
    <n v="609.02"/>
    <n v="7.1230000000000002E-2"/>
    <n v="4.8399999999999999E-2"/>
    <n v="1.4935322940163511E-3"/>
  </r>
  <r>
    <x v="7"/>
    <n v="0.1021"/>
    <n v="0.33"/>
    <n v="1.4550000000000001"/>
    <n v="2.4008112272223082E-2"/>
    <n v="378.34"/>
    <n v="0.10820500000000001"/>
    <n v="0.10890000000000001"/>
    <n v="5.7638945487566856E-4"/>
  </r>
  <r>
    <x v="8"/>
    <n v="0.4819"/>
    <n v="0.35"/>
    <n v="1.32"/>
    <n v="4.7168446408492007E-2"/>
    <n v="743.32"/>
    <n v="0.10132000000000001"/>
    <n v="0.12249999999999998"/>
    <n v="2.2248623365907823E-3"/>
  </r>
  <r>
    <x v="9"/>
    <n v="0.25580000000000003"/>
    <n v="0.28599999999999998"/>
    <n v="0.6"/>
    <n v="2.8148010894202876E-2"/>
    <n v="443.58"/>
    <n v="6.4600000000000005E-2"/>
    <n v="8.179599999999998E-2"/>
    <n v="7.9231051730016381E-4"/>
  </r>
  <r>
    <x v="10"/>
    <n v="0.1222"/>
    <n v="0.34279999999999999"/>
    <n v="0.8"/>
    <n v="7.4262445713009342E-2"/>
    <n v="1170.29"/>
    <n v="7.4800000000000005E-2"/>
    <n v="0.11751183999999999"/>
    <n v="5.51491084327766E-3"/>
  </r>
  <r>
    <x v="11"/>
    <n v="1.95E-2"/>
    <n v="0.18633333333333332"/>
    <n v="1.3"/>
    <n v="1.907500805896881E-2"/>
    <n v="300.60000000000002"/>
    <n v="0.10030000000000001"/>
    <n v="3.4720111111111104E-2"/>
    <n v="3.6385593244972502E-4"/>
  </r>
  <r>
    <x v="12"/>
    <n v="3.0000000000000001E-3"/>
    <n v="0.26819999999999999"/>
    <n v="0.9"/>
    <n v="2.6258277893550543E-2"/>
    <n v="413.8"/>
    <n v="7.9899999999999999E-2"/>
    <n v="7.1931239999999994E-2"/>
    <n v="6.8949715793492508E-4"/>
  </r>
  <r>
    <x v="13"/>
    <n v="0.3896"/>
    <n v="0.38329999999999997"/>
    <n v="1.52"/>
    <n v="2.3662909198900427E-2"/>
    <n v="372.9"/>
    <n v="0.11152000000000001"/>
    <n v="0.14691888999999997"/>
    <n v="5.5993327175540646E-4"/>
  </r>
  <r>
    <x v="14"/>
    <n v="-7.6E-3"/>
    <n v="0.3054"/>
    <n v="0.6"/>
    <n v="1.5721969383533308E-2"/>
    <n v="247.76"/>
    <n v="6.4600000000000005E-2"/>
    <n v="9.3269160000000004E-2"/>
    <n v="2.4718032129675873E-4"/>
  </r>
  <r>
    <x v="15"/>
    <n v="1.8599999999999998E-2"/>
    <n v="0.21249999999999999"/>
    <n v="1.04"/>
    <n v="1.9157501440461355E-2"/>
    <n v="301.89999999999998"/>
    <n v="8.7040000000000006E-2"/>
    <n v="4.5156249999999995E-2"/>
    <n v="3.6700986144127889E-4"/>
  </r>
  <r>
    <x v="16"/>
    <n v="-5.4000000000000003E-3"/>
    <n v="0.16769999999999999"/>
    <n v="0.94"/>
    <n v="1.6977137911166052E-2"/>
    <n v="267.54000000000002"/>
    <n v="8.1940000000000013E-2"/>
    <n v="2.8123289999999995E-2"/>
    <n v="2.8822321165475161E-4"/>
  </r>
  <r>
    <x v="17"/>
    <n v="6.4899999999999999E-2"/>
    <n v="0.29909999999999998"/>
    <n v="0.82"/>
    <n v="1.4841193894982119E-2"/>
    <n v="233.88"/>
    <n v="7.5819999999999999E-2"/>
    <n v="8.9460809999999988E-2"/>
    <n v="2.2026103622845451E-4"/>
  </r>
  <r>
    <x v="18"/>
    <n v="-0.12429999999999999"/>
    <n v="0.45019999999999999"/>
    <n v="1.27"/>
    <n v="9.1580344746186905E-3"/>
    <n v="144.32"/>
    <n v="9.8770000000000011E-2"/>
    <n v="0.20268003999999998"/>
    <n v="8.3869595438304436E-5"/>
  </r>
  <r>
    <x v="19"/>
    <n v="-7.7999999999999996E-3"/>
    <n v="0.16589999999999999"/>
    <n v="0.22"/>
    <n v="1.8402369717568045E-2"/>
    <n v="290"/>
    <n v="4.5220000000000003E-2"/>
    <n v="2.7522809999999998E-2"/>
    <n v="3.3864721122206542E-4"/>
  </r>
  <r>
    <x v="20"/>
    <n v="6.3399999999999998E-2"/>
    <n v="0.27639999999999998"/>
    <n v="1.17"/>
    <n v="1.4296737577131314E-2"/>
    <n v="225.3"/>
    <n v="9.3670000000000003E-2"/>
    <n v="7.6396959999999986E-2"/>
    <n v="2.0439670534935854E-4"/>
  </r>
  <r>
    <x v="21"/>
    <n v="9.4799999999999995E-2"/>
    <n v="0.37919999999999998"/>
    <n v="0.97"/>
    <n v="1.4351944686284016E-2"/>
    <n v="226.17"/>
    <n v="8.3470000000000003E-2"/>
    <n v="0.14379264"/>
    <n v="2.0597831627815601E-4"/>
  </r>
  <r>
    <x v="22"/>
    <n v="0.30680000000000002"/>
    <n v="0.28489999999999999"/>
    <n v="0.72"/>
    <n v="1.5758139558495424E-2"/>
    <n v="248.33"/>
    <n v="7.0720000000000005E-2"/>
    <n v="8.1168009999999999E-2"/>
    <n v="2.4831896234501837E-4"/>
  </r>
  <r>
    <x v="23"/>
    <n v="0.43109999999999998"/>
    <n v="0.4173"/>
    <n v="1.36"/>
    <n v="1.3055529467904999E-2"/>
    <n v="205.74"/>
    <n v="0.10336000000000001"/>
    <n v="0.17413929"/>
    <n v="1.704468496873358E-4"/>
  </r>
  <r>
    <x v="24"/>
    <n v="0.34310000000000002"/>
    <n v="0.33"/>
    <n v="0.8"/>
    <n v="1.4874191247579138E-2"/>
    <n v="234.4"/>
    <n v="7.4800000000000005E-2"/>
    <n v="0.10890000000000001"/>
    <n v="2.2124156526955984E-4"/>
  </r>
  <r>
    <x v="25"/>
    <n v="0.36449999999999999"/>
    <n v="0.52"/>
    <n v="1.05"/>
    <n v="1.4849443233131374E-2"/>
    <n v="234.01"/>
    <n v="8.7550000000000017E-2"/>
    <n v="0.27040000000000003"/>
    <n v="2.2050596433399115E-4"/>
  </r>
  <r>
    <x v="26"/>
    <n v="5.3400000000000003E-2"/>
    <n v="0.28000000000000003"/>
    <n v="0.68"/>
    <n v="1.2691924024864775E-2"/>
    <n v="200.01"/>
    <n v="6.8680000000000005E-2"/>
    <n v="7.8400000000000011E-2"/>
    <n v="1.6108493545293967E-4"/>
  </r>
  <r>
    <x v="27"/>
    <n v="0.27100000000000002"/>
    <n v="0.36"/>
    <n v="0.88"/>
    <n v="1.3984531856405675E-2"/>
    <n v="220.38"/>
    <n v="7.8880000000000006E-2"/>
    <n v="0.12959999999999999"/>
    <n v="1.9556713124282515E-4"/>
  </r>
  <r>
    <x v="28"/>
    <n v="0.21199999999999999"/>
    <n v="0.41"/>
    <n v="1.48"/>
    <n v="1.14227950788256E-2"/>
    <n v="180.01"/>
    <n v="0.10948000000000001"/>
    <n v="0.16809999999999997"/>
    <n v="1.3048024741284234E-4"/>
  </r>
  <r>
    <x v="29"/>
    <n v="0.41499999999999998"/>
    <n v="0.37"/>
    <n v="1.39"/>
    <n v="1.2308647083160944E-2"/>
    <n v="193.97"/>
    <n v="0.10489"/>
    <n v="0.13689999999999999"/>
    <n v="1.5150279301780642E-4"/>
  </r>
  <r>
    <x v="30"/>
    <n v="0.23100000000000001"/>
    <n v="0.16"/>
    <n v="0.49"/>
    <n v="1.4278335207413744E-2"/>
    <n v="225.01"/>
    <n v="5.8990000000000001E-2"/>
    <n v="2.5600000000000001E-2"/>
    <n v="2.0387085629527087E-4"/>
  </r>
  <r>
    <x v="31"/>
    <n v="0.2223"/>
    <n v="0.36"/>
    <n v="1.25"/>
    <n v="1.2556127227638584E-2"/>
    <n v="197.87"/>
    <n v="9.7750000000000004E-2"/>
    <n v="0.12959999999999999"/>
    <n v="1.5765633095664699E-4"/>
  </r>
  <r>
    <x v="32"/>
    <n v="1.3899999999999999E-2"/>
    <n v="0.47"/>
    <n v="2.23"/>
    <n v="7.5874874038952111E-3"/>
    <n v="119.57"/>
    <n v="0.14773000000000003"/>
    <n v="0.22089999999999999"/>
    <n v="5.7569965104268492E-5"/>
  </r>
  <r>
    <x v="33"/>
    <n v="0.33400000000000002"/>
    <n v="0.42"/>
    <n v="1.74"/>
    <n v="1.1739442750862375E-2"/>
    <n v="185"/>
    <n v="0.12274"/>
    <n v="0.17639999999999997"/>
    <n v="1.3781451610077517E-4"/>
  </r>
  <r>
    <x v="34"/>
    <n v="0.1016"/>
    <n v="0.18"/>
    <n v="0.87"/>
    <n v="1.1333956052602859E-2"/>
    <n v="178.61"/>
    <n v="7.8369999999999995E-2"/>
    <n v="3.2399999999999998E-2"/>
    <n v="1.2845855980233298E-4"/>
  </r>
  <r>
    <x v="35"/>
    <n v="0.3372"/>
    <n v="0.47294999999999998"/>
    <n v="0.68"/>
    <n v="1.5352652860235906E-2"/>
    <n v="241.94"/>
    <n v="6.8680000000000005E-2"/>
    <n v="0.2236817025"/>
    <n v="2.3570394984690976E-4"/>
  </r>
  <r>
    <x v="36"/>
    <n v="0.64419999999999999"/>
    <n v="0.5"/>
    <n v="-0.06"/>
    <n v="1.1713425607468572E-2"/>
    <n v="184.59"/>
    <n v="3.0940000000000002E-2"/>
    <n v="0.25"/>
    <n v="1.3720433946170049E-4"/>
  </r>
  <r>
    <x v="37"/>
    <n v="0.18379999999999999"/>
    <n v="0.26190000000000002"/>
    <n v="0.93"/>
    <n v="9.03619809579893E-3"/>
    <n v="142.4"/>
    <n v="8.1430000000000002E-2"/>
    <n v="6.8591610000000011E-2"/>
    <n v="8.1652876026520215E-5"/>
  </r>
  <r>
    <x v="38"/>
    <n v="0.39950000000000002"/>
    <n v="0.45"/>
    <n v="0.35"/>
    <n v="7.6147736762350532E-3"/>
    <n v="120"/>
    <n v="5.1850000000000007E-2"/>
    <n v="0.20250000000000001"/>
    <n v="5.7984778140282304E-5"/>
  </r>
  <r>
    <x v="39"/>
    <n v="1.5809"/>
    <n v="3.56E-2"/>
    <n v="1.36"/>
    <n v="1.2658926672267758E-2"/>
    <n v="199.49"/>
    <n v="0.10336000000000001"/>
    <n v="1.2673599999999999E-3"/>
    <n v="1.6024842449385206E-4"/>
  </r>
  <r>
    <x v="40"/>
    <n v="0.23269999999999999"/>
    <n v="7.6100000000000001E-2"/>
    <n v="0.67"/>
    <n v="9.5184670952938172E-3"/>
    <n v="150"/>
    <n v="6.8170000000000008E-2"/>
    <n v="5.7912099999999998E-3"/>
    <n v="9.0601215844191121E-5"/>
  </r>
  <r>
    <x v="41"/>
    <n v="-1.8E-3"/>
    <n v="0.19625000000000001"/>
    <n v="0.67666666666666675"/>
    <n v="6.9808437676884862E-3"/>
    <n v="110.01"/>
    <n v="6.8510000000000015E-2"/>
    <n v="3.8514062500000001E-2"/>
    <n v="4.8732179708875182E-5"/>
  </r>
  <r>
    <x v="42"/>
    <n v="0.23780000000000001"/>
    <n v="0.24533333333333332"/>
    <n v="1.24"/>
    <n v="6.3456447301958778E-3"/>
    <n v="100"/>
    <n v="9.7240000000000007E-2"/>
    <n v="6.018844444444444E-2"/>
    <n v="4.0267207041862718E-5"/>
  </r>
  <r>
    <x v="43"/>
    <n v="0.1628"/>
    <n v="7.1999999999999995E-2"/>
    <n v="1.0900000000000001"/>
    <n v="8.8845371867472475E-3"/>
    <n v="140.01"/>
    <n v="8.9590000000000003E-2"/>
    <n v="5.1839999999999994E-3"/>
    <n v="7.8935001022694694E-5"/>
  </r>
  <r>
    <x v="44"/>
    <n v="0.2767"/>
    <n v="6.54E-2"/>
    <n v="0.66"/>
    <n v="8.1858817019526825E-3"/>
    <n v="129"/>
    <n v="6.7659999999999998E-2"/>
    <n v="4.2771600000000003E-3"/>
    <n v="6.7008659238363747E-5"/>
  </r>
  <r>
    <x v="45"/>
    <n v="0.25969999999999999"/>
    <n v="5.5800000000000002E-2"/>
    <n v="1.32"/>
    <n v="6.3456447301958778E-3"/>
    <n v="100"/>
    <n v="0.10132000000000001"/>
    <n v="3.1136400000000004E-3"/>
    <n v="4.0267207041862718E-5"/>
  </r>
  <r>
    <x v="46"/>
    <n v="0.25869999999999999"/>
    <n v="0.13270000000000001"/>
    <n v="1.47"/>
    <n v="6.9173873203865269E-3"/>
    <n v="109.01"/>
    <n v="0.10897000000000001"/>
    <n v="1.7609290000000003E-2"/>
    <n v="4.7850247340244292E-5"/>
  </r>
  <r>
    <x v="47"/>
    <n v="0.3962"/>
    <n v="0.28089999999999998"/>
    <n v="1.21"/>
    <n v="7.9250757035416314E-3"/>
    <n v="124.89"/>
    <n v="9.5710000000000003E-2"/>
    <n v="7.8904809999999992E-2"/>
    <n v="6.2806824906865886E-5"/>
  </r>
  <r>
    <x v="48"/>
    <n v="0.31659999999999999"/>
    <n v="0.32450000000000001"/>
    <n v="0.59"/>
    <n v="6.9167527559135071E-3"/>
    <n v="109"/>
    <n v="6.4090000000000008E-2"/>
    <n v="0.10530025000000001"/>
    <n v="4.7841468686437098E-5"/>
  </r>
  <r>
    <x v="49"/>
    <n v="0.1399"/>
    <n v="1.4500000000000001E-2"/>
    <n v="0.76"/>
    <n v="6.3132819420718784E-3"/>
    <n v="99.49"/>
    <n v="7.2760000000000005E-2"/>
    <n v="2.1025000000000001E-4"/>
    <n v="3.9857528880090867E-5"/>
  </r>
  <r>
    <x v="50"/>
    <n v="-4.2299999999999997E-2"/>
    <n v="6.1499999999999999E-2"/>
    <n v="7.0000000000000007E-2"/>
    <n v="6.3412027788847412E-3"/>
    <n v="99.93"/>
    <n v="3.7570000000000006E-2"/>
    <n v="3.78225E-3"/>
    <n v="4.0210852682935567E-5"/>
  </r>
  <r>
    <x v="51"/>
    <n v="0.3201"/>
    <n v="0.28249999999999997"/>
    <n v="1.1000000000000001"/>
    <n v="6.6629269667056717E-3"/>
    <n v="105"/>
    <n v="9.0100000000000013E-2"/>
    <n v="7.9806249999999981E-2"/>
    <n v="4.4394595763653643E-5"/>
  </r>
  <r>
    <x v="52"/>
    <n v="0.33729999999999999"/>
    <n v="0.434"/>
    <n v="1.19"/>
    <n v="5.5905130073025684E-3"/>
    <n v="88.1"/>
    <n v="9.4689999999999996E-2"/>
    <n v="0.188356"/>
    <n v="3.1253835684819204E-5"/>
  </r>
  <r>
    <x v="53"/>
    <n v="0.18990000000000001"/>
    <n v="0.38200000000000001"/>
    <n v="1.52"/>
    <n v="3.1728223650979389E-3"/>
    <n v="50"/>
    <n v="0.11152000000000001"/>
    <n v="0.145924"/>
    <n v="1.006680176046568E-5"/>
  </r>
  <r>
    <x v="54"/>
    <n v="0.14050000000000001"/>
    <n v="0.28799999999999998"/>
    <n v="1.21"/>
    <n v="2.6169438867327801E-3"/>
    <n v="41.24"/>
    <n v="9.5710000000000003E-2"/>
    <n v="8.294399999999999E-2"/>
    <n v="6.8483953063080702E-6"/>
  </r>
  <r>
    <x v="55"/>
    <n v="0.37419999999999998"/>
    <n v="0.53949999999999998"/>
    <n v="0.98"/>
    <n v="4.2027205048087305E-3"/>
    <n v="66.23"/>
    <n v="8.3979999999999999E-2"/>
    <n v="0.29106024999999996"/>
    <n v="1.766285964153975E-5"/>
  </r>
  <r>
    <x v="56"/>
    <n v="0.29330000000000001"/>
    <n v="0.249"/>
    <n v="0.9"/>
    <n v="1.7203042863561024E-3"/>
    <n v="27.11"/>
    <n v="7.9899999999999999E-2"/>
    <n v="6.2001000000000001E-2"/>
    <n v="2.9594468376551787E-6"/>
  </r>
  <r>
    <x v="57"/>
    <n v="14.3682"/>
    <n v="0.50529999999999997"/>
    <n v="1.28"/>
    <n v="9.5184670952938172E-3"/>
    <n v="150"/>
    <n v="9.9280000000000007E-2"/>
    <n v="0.25532808999999995"/>
    <n v="9.0601215844191121E-5"/>
  </r>
  <r>
    <x v="58"/>
    <n v="1.5509999999999999"/>
    <n v="0.73299999999999998"/>
    <n v="1.79"/>
    <n v="5.314477461539048E-3"/>
    <n v="83.75"/>
    <n v="0.12529000000000001"/>
    <n v="0.53728900000000002"/>
    <n v="2.8243670689206525E-5"/>
  </r>
  <r>
    <x v="59"/>
    <n v="0.82169999999999999"/>
    <n v="0.315"/>
    <n v="1.1639999999999999"/>
    <n v="6.5487053615621458E-4"/>
    <n v="10.32"/>
    <n v="9.3364000000000003E-2"/>
    <n v="9.9225000000000008E-2"/>
    <n v="4.2885541912552795E-7"/>
  </r>
  <r>
    <x v="60"/>
    <n v="5"/>
    <n v="0.5877"/>
    <n v="-0.69"/>
    <n v="5.5340367692038248E-3"/>
    <n v="87.21"/>
    <n v="-1.1899999999999966E-3"/>
    <n v="0.34539129000000002"/>
    <n v="3.0625562962899909E-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CCEC9E-E719-C042-931F-EEF3EB0AC7B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J64" firstHeaderRow="0" firstDataRow="1" firstDataCol="1"/>
  <pivotFields count="9">
    <pivotField axis="axisRow" showAll="0">
      <items count="62">
        <item x="59"/>
        <item x="58"/>
        <item x="57"/>
        <item x="56"/>
        <item x="55"/>
        <item x="54"/>
        <item x="53"/>
        <item x="52"/>
        <item x="51"/>
        <item x="0"/>
        <item x="50"/>
        <item x="49"/>
        <item x="48"/>
        <item x="47"/>
        <item x="46"/>
        <item x="45"/>
        <item x="44"/>
        <item x="43"/>
        <item x="42"/>
        <item x="41"/>
        <item x="40"/>
        <item x="6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dataField="1" showAll="0"/>
    <pivotField dataField="1" numFmtId="10" showAll="0"/>
    <pivotField dataField="1" showAll="0"/>
    <pivotField dataField="1" numFmtId="10" showAll="0"/>
    <pivotField dataField="1" showAll="0"/>
    <pivotField dataField="1" showAll="0"/>
    <pivotField dataField="1" showAll="0"/>
    <pivotField dataField="1" showAll="0"/>
  </pivotFields>
  <rowFields count="1">
    <field x="0"/>
  </rowFields>
  <rowItems count="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t="grand">
      <x/>
    </i>
  </rowItems>
  <colFields count="1">
    <field x="-2"/>
  </colFields>
  <colItems count="8">
    <i>
      <x/>
    </i>
    <i i="1">
      <x v="1"/>
    </i>
    <i i="2">
      <x v="2"/>
    </i>
    <i i="3">
      <x v="3"/>
    </i>
    <i i="4">
      <x v="4"/>
    </i>
    <i i="5">
      <x v="5"/>
    </i>
    <i i="6">
      <x v="6"/>
    </i>
    <i i="7">
      <x v="7"/>
    </i>
  </colItems>
  <dataFields count="8">
    <dataField name="Sum of Weights Squared" fld="8" baseField="0" baseItem="0"/>
    <dataField name="Sum of Variance" fld="7" baseField="0" baseItem="0"/>
    <dataField name="Sum of CAPM Expected Return" fld="6" baseField="0" baseItem="0"/>
    <dataField name="Sum of Investment" fld="5" baseField="0" baseItem="0"/>
    <dataField name="Sum of Weight (%)" fld="4" baseField="0" baseItem="0" numFmtId="10"/>
    <dataField name="Sum of Beta" fld="3" baseField="0" baseItem="0"/>
    <dataField name="Sum of Volatility (%)" fld="2" baseField="0" baseItem="0" numFmtId="10"/>
    <dataField name="Sum of Expected Return (%)" fld="1" baseField="0" baseItem="0"/>
  </dataFields>
  <formats count="7">
    <format dxfId="7">
      <pivotArea type="all" dataOnly="0" outline="0" fieldPosition="0"/>
    </format>
    <format dxfId="6">
      <pivotArea outline="0" collapsedLevelsAreSubtotals="1" fieldPosition="0"/>
    </format>
    <format dxfId="5">
      <pivotArea field="0" type="button" dataOnly="0" labelOnly="1" outline="0" axis="axisRow" fieldPosition="0"/>
    </format>
    <format dxfId="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
      <pivotArea dataOnly="0" labelOnly="1" fieldPosition="0">
        <references count="1">
          <reference field="0" count="11">
            <x v="50"/>
            <x v="51"/>
            <x v="52"/>
            <x v="53"/>
            <x v="54"/>
            <x v="55"/>
            <x v="56"/>
            <x v="57"/>
            <x v="58"/>
            <x v="59"/>
            <x v="60"/>
          </reference>
        </references>
      </pivotArea>
    </format>
    <format dxfId="2">
      <pivotArea dataOnly="0" labelOnly="1" grandRow="1" outline="0" fieldPosition="0"/>
    </format>
    <format dxfId="1">
      <pivotArea dataOnly="0" labelOnly="1" outline="0" fieldPosition="0">
        <references count="1">
          <reference field="4294967294" count="8">
            <x v="0"/>
            <x v="1"/>
            <x v="2"/>
            <x v="3"/>
            <x v="4"/>
            <x v="5"/>
            <x v="6"/>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16</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86CCF15-6270-CB48-ACC4-67FA81C1464E}" name="Table8" displayName="Table8" ref="A1:J62" totalsRowShown="0" headerRowDxfId="22" dataDxfId="20" headerRowBorderDxfId="21" tableBorderDxfId="19" totalsRowBorderDxfId="18">
  <autoFilter ref="A1:J62" xr:uid="{786CCF15-6270-CB48-ACC4-67FA81C1464E}"/>
  <tableColumns count="10">
    <tableColumn id="1" xr3:uid="{F17D2D1B-3BA9-C344-BD6E-E637B2C2A75E}" name="Asset Name" dataDxfId="17"/>
    <tableColumn id="2" xr3:uid="{5A1F1BED-78A1-1843-B381-CDE73DEF2444}" name="Expected Return (%)" dataDxfId="16" dataCellStyle="Per cent"/>
    <tableColumn id="3" xr3:uid="{0CDC6B5C-13DA-D546-A156-5E09FC0F1690}" name="Volatility (%)" dataDxfId="15" dataCellStyle="Per cent"/>
    <tableColumn id="4" xr3:uid="{B431105D-6B8D-E94A-A45D-E6AF20AAA114}" name="Beta" dataDxfId="14"/>
    <tableColumn id="5" xr3:uid="{C3EF33BF-2C08-4C4F-A443-65AA8E7BC45D}" name="Weight (%)" dataDxfId="13" dataCellStyle="Per cent">
      <calculatedColumnFormula>F2/(SUM($F$2:$F$61))</calculatedColumnFormula>
    </tableColumn>
    <tableColumn id="6" xr3:uid="{BCB21A92-C748-4144-B9B1-F0491F046049}" name="Investment" dataDxfId="12"/>
    <tableColumn id="7" xr3:uid="{3A7E8A4E-A93C-3C4C-9932-BB27E038E0DF}" name="CAPM Expected Return" dataDxfId="11">
      <calculatedColumnFormula>0.034 + D2*(0.085-0.034)</calculatedColumnFormula>
    </tableColumn>
    <tableColumn id="8" xr3:uid="{30665D3A-7B7B-CB46-8463-84BD932183F0}" name="Variance" dataDxfId="10">
      <calculatedColumnFormula>C2^2</calculatedColumnFormula>
    </tableColumn>
    <tableColumn id="9" xr3:uid="{CD8AB140-0C6C-8445-B0FF-CFBFD1D1C834}" name="Weights Squared" dataDxfId="9">
      <calculatedColumnFormula>E2^2</calculatedColumnFormula>
    </tableColumn>
    <tableColumn id="10" xr3:uid="{4F53CDDA-AFE8-AE47-B625-DA1F4F75C178}" name="Price Target"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00"/>
  <sheetViews>
    <sheetView tabSelected="1" workbookViewId="0">
      <pane ySplit="1" topLeftCell="A2" activePane="bottomLeft" state="frozen"/>
      <selection pane="bottomLeft" activeCell="J6" sqref="J6"/>
    </sheetView>
  </sheetViews>
  <sheetFormatPr baseColWidth="10" defaultColWidth="14.5" defaultRowHeight="15" customHeight="1"/>
  <cols>
    <col min="1" max="1" width="42.5" customWidth="1"/>
    <col min="2" max="2" width="39.33203125" style="36" customWidth="1"/>
    <col min="3" max="3" width="24.83203125" style="36" customWidth="1"/>
    <col min="4" max="4" width="14" customWidth="1"/>
    <col min="5" max="5" width="19.5" style="36" customWidth="1"/>
    <col min="6" max="6" width="22.83203125" customWidth="1"/>
    <col min="7" max="7" width="28.5" customWidth="1"/>
    <col min="8" max="8" width="20.1640625" customWidth="1"/>
    <col min="9" max="10" width="27.6640625" customWidth="1"/>
    <col min="17" max="26" width="8.6640625" customWidth="1"/>
  </cols>
  <sheetData>
    <row r="1" spans="1:10">
      <c r="A1" s="49" t="s">
        <v>0</v>
      </c>
      <c r="B1" s="50" t="s">
        <v>1</v>
      </c>
      <c r="C1" s="50" t="s">
        <v>2</v>
      </c>
      <c r="D1" s="51" t="s">
        <v>3</v>
      </c>
      <c r="E1" s="50" t="s">
        <v>4</v>
      </c>
      <c r="F1" s="52" t="s">
        <v>5</v>
      </c>
      <c r="G1" s="52" t="s">
        <v>6</v>
      </c>
      <c r="H1" s="52" t="s">
        <v>7</v>
      </c>
      <c r="I1" s="53" t="s">
        <v>8</v>
      </c>
      <c r="J1" s="52" t="s">
        <v>111</v>
      </c>
    </row>
    <row r="2" spans="1:10" ht="16">
      <c r="A2" s="43" t="s">
        <v>9</v>
      </c>
      <c r="B2" s="40" t="s">
        <v>110</v>
      </c>
      <c r="C2" s="40">
        <v>0.28000000000000003</v>
      </c>
      <c r="D2" s="41">
        <v>1.2</v>
      </c>
      <c r="E2" s="40">
        <f t="shared" ref="E2:E33" si="0">F2/(SUM($F$2:$F$61))</f>
        <v>3.4901046016077332E-2</v>
      </c>
      <c r="F2" s="41">
        <v>550</v>
      </c>
      <c r="G2" s="41">
        <v>9.5200000000000007E-2</v>
      </c>
      <c r="H2" s="41">
        <f t="shared" ref="H2:H33" si="1">C2^2</f>
        <v>7.8400000000000011E-2</v>
      </c>
      <c r="I2" s="42">
        <f t="shared" ref="I2:I33" si="2">E2^2</f>
        <v>1.2180830130163473E-3</v>
      </c>
      <c r="J2" s="57" t="s">
        <v>112</v>
      </c>
    </row>
    <row r="3" spans="1:10" ht="16">
      <c r="A3" s="43" t="s">
        <v>19</v>
      </c>
      <c r="B3" s="40">
        <v>0.4093</v>
      </c>
      <c r="C3" s="40">
        <v>0.36380000000000001</v>
      </c>
      <c r="D3" s="41">
        <v>1.05</v>
      </c>
      <c r="E3" s="40">
        <f t="shared" si="0"/>
        <v>5.5940031119041757E-2</v>
      </c>
      <c r="F3" s="41">
        <v>881.55</v>
      </c>
      <c r="G3" s="41">
        <f t="shared" ref="G3:G34" si="3">0.034 + D3*(0.085-0.034)</f>
        <v>8.7550000000000017E-2</v>
      </c>
      <c r="H3" s="41">
        <f t="shared" si="1"/>
        <v>0.13235044000000001</v>
      </c>
      <c r="I3" s="42">
        <f t="shared" si="2"/>
        <v>3.1292870815993602E-3</v>
      </c>
      <c r="J3" s="41" t="s">
        <v>112</v>
      </c>
    </row>
    <row r="4" spans="1:10" ht="16">
      <c r="A4" s="43" t="s">
        <v>17</v>
      </c>
      <c r="B4" s="40">
        <v>9.2899999999999996E-2</v>
      </c>
      <c r="C4" s="40">
        <v>0.17</v>
      </c>
      <c r="D4" s="41">
        <v>1</v>
      </c>
      <c r="E4" s="40">
        <f t="shared" si="0"/>
        <v>5.0258775392097395E-2</v>
      </c>
      <c r="F4" s="41">
        <v>792.02</v>
      </c>
      <c r="G4" s="41">
        <f t="shared" si="3"/>
        <v>8.5000000000000006E-2</v>
      </c>
      <c r="H4" s="41">
        <f t="shared" si="1"/>
        <v>2.8900000000000006E-2</v>
      </c>
      <c r="I4" s="42">
        <f t="shared" si="2"/>
        <v>2.5259445039132948E-3</v>
      </c>
      <c r="J4" s="41" t="s">
        <v>112</v>
      </c>
    </row>
    <row r="5" spans="1:10" ht="16">
      <c r="A5" s="43" t="s">
        <v>31</v>
      </c>
      <c r="B5" s="40">
        <v>0.2727</v>
      </c>
      <c r="C5" s="40">
        <v>0.3624</v>
      </c>
      <c r="D5" s="41">
        <v>1.3</v>
      </c>
      <c r="E5" s="40">
        <f t="shared" si="0"/>
        <v>5.3746341735813045E-2</v>
      </c>
      <c r="F5" s="41">
        <v>846.98</v>
      </c>
      <c r="G5" s="41">
        <f t="shared" si="3"/>
        <v>0.10030000000000001</v>
      </c>
      <c r="H5" s="41">
        <f t="shared" si="1"/>
        <v>0.13133375999999999</v>
      </c>
      <c r="I5" s="42">
        <f t="shared" si="2"/>
        <v>2.8886692499827992E-3</v>
      </c>
      <c r="J5" s="41" t="s">
        <v>112</v>
      </c>
    </row>
    <row r="6" spans="1:10" ht="16">
      <c r="A6" s="43" t="s">
        <v>36</v>
      </c>
      <c r="B6" s="40">
        <v>0.1391</v>
      </c>
      <c r="C6" s="40">
        <v>0.43230000000000002</v>
      </c>
      <c r="D6" s="41">
        <v>1.4</v>
      </c>
      <c r="E6" s="40">
        <f t="shared" si="0"/>
        <v>2.7830094093220063E-2</v>
      </c>
      <c r="F6" s="41">
        <v>438.57</v>
      </c>
      <c r="G6" s="41">
        <f t="shared" si="3"/>
        <v>0.10540000000000001</v>
      </c>
      <c r="H6" s="41">
        <f t="shared" si="1"/>
        <v>0.18688329000000001</v>
      </c>
      <c r="I6" s="42">
        <f t="shared" si="2"/>
        <v>7.7451413723748225E-4</v>
      </c>
      <c r="J6" s="41" t="s">
        <v>112</v>
      </c>
    </row>
    <row r="7" spans="1:10" ht="16">
      <c r="A7" s="43" t="s">
        <v>46</v>
      </c>
      <c r="B7" s="40">
        <v>0.37759999999999999</v>
      </c>
      <c r="C7" s="40">
        <v>0.46</v>
      </c>
      <c r="D7" s="41">
        <v>1.33</v>
      </c>
      <c r="E7" s="40">
        <f t="shared" si="0"/>
        <v>3.0242073655167515E-2</v>
      </c>
      <c r="F7" s="41">
        <v>476.58</v>
      </c>
      <c r="G7" s="41">
        <f t="shared" si="3"/>
        <v>0.10183000000000002</v>
      </c>
      <c r="H7" s="41">
        <f t="shared" si="1"/>
        <v>0.21160000000000001</v>
      </c>
      <c r="I7" s="42">
        <f t="shared" si="2"/>
        <v>9.1458301896457704E-4</v>
      </c>
      <c r="J7" s="41" t="s">
        <v>112</v>
      </c>
    </row>
    <row r="8" spans="1:10" ht="16">
      <c r="A8" s="43" t="s">
        <v>45</v>
      </c>
      <c r="B8" s="40">
        <v>0.25600000000000001</v>
      </c>
      <c r="C8" s="40">
        <v>0.22</v>
      </c>
      <c r="D8" s="41">
        <v>0.73</v>
      </c>
      <c r="E8" s="40">
        <f t="shared" si="0"/>
        <v>3.8646245535838938E-2</v>
      </c>
      <c r="F8" s="41">
        <v>609.02</v>
      </c>
      <c r="G8" s="41">
        <f t="shared" si="3"/>
        <v>7.1230000000000002E-2</v>
      </c>
      <c r="H8" s="41">
        <f t="shared" si="1"/>
        <v>4.8399999999999999E-2</v>
      </c>
      <c r="I8" s="42">
        <f t="shared" si="2"/>
        <v>1.4935322940163511E-3</v>
      </c>
      <c r="J8" s="41" t="s">
        <v>112</v>
      </c>
    </row>
    <row r="9" spans="1:10" ht="16">
      <c r="A9" s="43" t="s">
        <v>28</v>
      </c>
      <c r="B9" s="40">
        <v>0.1021</v>
      </c>
      <c r="C9" s="40">
        <v>0.33</v>
      </c>
      <c r="D9" s="41">
        <v>1.4550000000000001</v>
      </c>
      <c r="E9" s="40">
        <f t="shared" si="0"/>
        <v>2.4008112272223082E-2</v>
      </c>
      <c r="F9" s="41">
        <v>378.34</v>
      </c>
      <c r="G9" s="41">
        <f t="shared" si="3"/>
        <v>0.10820500000000001</v>
      </c>
      <c r="H9" s="41">
        <f t="shared" si="1"/>
        <v>0.10890000000000001</v>
      </c>
      <c r="I9" s="42">
        <f t="shared" si="2"/>
        <v>5.7638945487566856E-4</v>
      </c>
      <c r="J9" s="41" t="s">
        <v>112</v>
      </c>
    </row>
    <row r="10" spans="1:10" ht="16">
      <c r="A10" s="43" t="s">
        <v>50</v>
      </c>
      <c r="B10" s="40">
        <v>0.4819</v>
      </c>
      <c r="C10" s="40">
        <v>0.35</v>
      </c>
      <c r="D10" s="41">
        <v>1.32</v>
      </c>
      <c r="E10" s="40">
        <f t="shared" si="0"/>
        <v>4.7168446408492007E-2</v>
      </c>
      <c r="F10" s="41">
        <v>743.32</v>
      </c>
      <c r="G10" s="41">
        <f t="shared" si="3"/>
        <v>0.10132000000000001</v>
      </c>
      <c r="H10" s="41">
        <f t="shared" si="1"/>
        <v>0.12249999999999998</v>
      </c>
      <c r="I10" s="42">
        <f t="shared" si="2"/>
        <v>2.2248623365907823E-3</v>
      </c>
      <c r="J10" s="41" t="s">
        <v>112</v>
      </c>
    </row>
    <row r="11" spans="1:10" ht="16">
      <c r="A11" s="43" t="s">
        <v>43</v>
      </c>
      <c r="B11" s="40">
        <v>0.25580000000000003</v>
      </c>
      <c r="C11" s="40">
        <v>0.28599999999999998</v>
      </c>
      <c r="D11" s="41">
        <v>0.6</v>
      </c>
      <c r="E11" s="40">
        <f t="shared" si="0"/>
        <v>2.8148010894202876E-2</v>
      </c>
      <c r="F11" s="41">
        <v>443.58</v>
      </c>
      <c r="G11" s="41">
        <f t="shared" si="3"/>
        <v>6.4600000000000005E-2</v>
      </c>
      <c r="H11" s="41">
        <f t="shared" si="1"/>
        <v>8.179599999999998E-2</v>
      </c>
      <c r="I11" s="42">
        <f t="shared" si="2"/>
        <v>7.9231051730016381E-4</v>
      </c>
      <c r="J11" s="41" t="s">
        <v>112</v>
      </c>
    </row>
    <row r="12" spans="1:10" ht="16">
      <c r="A12" s="43" t="s">
        <v>23</v>
      </c>
      <c r="B12" s="40">
        <v>0.1222</v>
      </c>
      <c r="C12" s="40">
        <v>0.34279999999999999</v>
      </c>
      <c r="D12" s="41">
        <v>0.8</v>
      </c>
      <c r="E12" s="40">
        <f t="shared" si="0"/>
        <v>7.4262445713009342E-2</v>
      </c>
      <c r="F12" s="41">
        <v>1170.29</v>
      </c>
      <c r="G12" s="41">
        <f t="shared" si="3"/>
        <v>7.4800000000000005E-2</v>
      </c>
      <c r="H12" s="41">
        <f t="shared" si="1"/>
        <v>0.11751183999999999</v>
      </c>
      <c r="I12" s="42">
        <f t="shared" si="2"/>
        <v>5.51491084327766E-3</v>
      </c>
      <c r="J12" s="41" t="s">
        <v>112</v>
      </c>
    </row>
    <row r="13" spans="1:10" ht="16">
      <c r="A13" s="43" t="s">
        <v>12</v>
      </c>
      <c r="B13" s="40">
        <v>1.95E-2</v>
      </c>
      <c r="C13" s="40">
        <f>(0.1944+0.194+0.1706)/3</f>
        <v>0.18633333333333332</v>
      </c>
      <c r="D13" s="41">
        <v>1.3</v>
      </c>
      <c r="E13" s="40">
        <f t="shared" si="0"/>
        <v>1.907500805896881E-2</v>
      </c>
      <c r="F13" s="41">
        <v>300.60000000000002</v>
      </c>
      <c r="G13" s="41">
        <f t="shared" si="3"/>
        <v>0.10030000000000001</v>
      </c>
      <c r="H13" s="41">
        <f t="shared" si="1"/>
        <v>3.4720111111111104E-2</v>
      </c>
      <c r="I13" s="42">
        <f t="shared" si="2"/>
        <v>3.6385593244972502E-4</v>
      </c>
      <c r="J13" s="41" t="s">
        <v>112</v>
      </c>
    </row>
    <row r="14" spans="1:10" ht="16">
      <c r="A14" s="43" t="s">
        <v>53</v>
      </c>
      <c r="B14" s="40">
        <v>3.0000000000000001E-3</v>
      </c>
      <c r="C14" s="40">
        <v>0.26819999999999999</v>
      </c>
      <c r="D14" s="41">
        <v>0.9</v>
      </c>
      <c r="E14" s="40">
        <f t="shared" si="0"/>
        <v>2.6258277893550543E-2</v>
      </c>
      <c r="F14" s="41">
        <v>413.8</v>
      </c>
      <c r="G14" s="41">
        <f t="shared" si="3"/>
        <v>7.9899999999999999E-2</v>
      </c>
      <c r="H14" s="41">
        <f t="shared" si="1"/>
        <v>7.1931239999999994E-2</v>
      </c>
      <c r="I14" s="42">
        <f t="shared" si="2"/>
        <v>6.8949715793492508E-4</v>
      </c>
      <c r="J14" s="41" t="s">
        <v>112</v>
      </c>
    </row>
    <row r="15" spans="1:10" ht="16">
      <c r="A15" s="43" t="s">
        <v>52</v>
      </c>
      <c r="B15" s="40">
        <v>0.3896</v>
      </c>
      <c r="C15" s="40">
        <v>0.38329999999999997</v>
      </c>
      <c r="D15" s="41">
        <v>1.52</v>
      </c>
      <c r="E15" s="40">
        <f t="shared" si="0"/>
        <v>2.3662909198900427E-2</v>
      </c>
      <c r="F15" s="41">
        <v>372.9</v>
      </c>
      <c r="G15" s="41">
        <f t="shared" si="3"/>
        <v>0.11152000000000001</v>
      </c>
      <c r="H15" s="41">
        <f t="shared" si="1"/>
        <v>0.14691888999999997</v>
      </c>
      <c r="I15" s="42">
        <f t="shared" si="2"/>
        <v>5.5993327175540646E-4</v>
      </c>
      <c r="J15" s="41" t="s">
        <v>112</v>
      </c>
    </row>
    <row r="16" spans="1:10" ht="16">
      <c r="A16" s="43" t="s">
        <v>32</v>
      </c>
      <c r="B16" s="40">
        <v>-7.6E-3</v>
      </c>
      <c r="C16" s="40">
        <v>0.3054</v>
      </c>
      <c r="D16" s="41">
        <v>0.6</v>
      </c>
      <c r="E16" s="40">
        <f t="shared" si="0"/>
        <v>1.5721969383533308E-2</v>
      </c>
      <c r="F16" s="41">
        <v>247.76</v>
      </c>
      <c r="G16" s="41">
        <f t="shared" si="3"/>
        <v>6.4600000000000005E-2</v>
      </c>
      <c r="H16" s="41">
        <f t="shared" si="1"/>
        <v>9.3269160000000004E-2</v>
      </c>
      <c r="I16" s="42">
        <f t="shared" si="2"/>
        <v>2.4718032129675873E-4</v>
      </c>
      <c r="J16" s="41" t="s">
        <v>112</v>
      </c>
    </row>
    <row r="17" spans="1:10" ht="16">
      <c r="A17" s="43" t="s">
        <v>66</v>
      </c>
      <c r="B17" s="40">
        <v>1.8599999999999998E-2</v>
      </c>
      <c r="C17" s="40">
        <v>0.21249999999999999</v>
      </c>
      <c r="D17" s="41">
        <v>1.04</v>
      </c>
      <c r="E17" s="40">
        <f t="shared" si="0"/>
        <v>1.9157501440461355E-2</v>
      </c>
      <c r="F17" s="41">
        <v>301.89999999999998</v>
      </c>
      <c r="G17" s="41">
        <f t="shared" si="3"/>
        <v>8.7040000000000006E-2</v>
      </c>
      <c r="H17" s="41">
        <f t="shared" si="1"/>
        <v>4.5156249999999995E-2</v>
      </c>
      <c r="I17" s="42">
        <f t="shared" si="2"/>
        <v>3.6700986144127889E-4</v>
      </c>
      <c r="J17" s="41" t="s">
        <v>112</v>
      </c>
    </row>
    <row r="18" spans="1:10" ht="16">
      <c r="A18" s="43" t="s">
        <v>65</v>
      </c>
      <c r="B18" s="40">
        <v>-5.4000000000000003E-3</v>
      </c>
      <c r="C18" s="40">
        <v>0.16769999999999999</v>
      </c>
      <c r="D18" s="41">
        <v>0.94</v>
      </c>
      <c r="E18" s="40">
        <f t="shared" si="0"/>
        <v>1.6977137911166052E-2</v>
      </c>
      <c r="F18" s="41">
        <v>267.54000000000002</v>
      </c>
      <c r="G18" s="41">
        <f t="shared" si="3"/>
        <v>8.1940000000000013E-2</v>
      </c>
      <c r="H18" s="41">
        <f t="shared" si="1"/>
        <v>2.8123289999999995E-2</v>
      </c>
      <c r="I18" s="42">
        <f t="shared" si="2"/>
        <v>2.8822321165475161E-4</v>
      </c>
      <c r="J18" s="41" t="s">
        <v>112</v>
      </c>
    </row>
    <row r="19" spans="1:10" ht="16">
      <c r="A19" s="43" t="s">
        <v>57</v>
      </c>
      <c r="B19" s="40">
        <v>6.4899999999999999E-2</v>
      </c>
      <c r="C19" s="40">
        <v>0.29909999999999998</v>
      </c>
      <c r="D19" s="41">
        <v>0.82</v>
      </c>
      <c r="E19" s="40">
        <f t="shared" si="0"/>
        <v>1.4841193894982119E-2</v>
      </c>
      <c r="F19" s="41">
        <v>233.88</v>
      </c>
      <c r="G19" s="41">
        <f t="shared" si="3"/>
        <v>7.5819999999999999E-2</v>
      </c>
      <c r="H19" s="41">
        <f t="shared" si="1"/>
        <v>8.9460809999999988E-2</v>
      </c>
      <c r="I19" s="42">
        <f t="shared" si="2"/>
        <v>2.2026103622845451E-4</v>
      </c>
      <c r="J19" s="41" t="s">
        <v>112</v>
      </c>
    </row>
    <row r="20" spans="1:10" ht="16">
      <c r="A20" s="43" t="s">
        <v>40</v>
      </c>
      <c r="B20" s="40">
        <v>-0.12429999999999999</v>
      </c>
      <c r="C20" s="40">
        <v>0.45019999999999999</v>
      </c>
      <c r="D20" s="41">
        <v>1.27</v>
      </c>
      <c r="E20" s="40">
        <f t="shared" si="0"/>
        <v>9.1580344746186905E-3</v>
      </c>
      <c r="F20" s="41">
        <v>144.32</v>
      </c>
      <c r="G20" s="41">
        <f t="shared" si="3"/>
        <v>9.8770000000000011E-2</v>
      </c>
      <c r="H20" s="41">
        <f t="shared" si="1"/>
        <v>0.20268003999999998</v>
      </c>
      <c r="I20" s="42">
        <f t="shared" si="2"/>
        <v>8.3869595438304436E-5</v>
      </c>
      <c r="J20" s="41" t="s">
        <v>112</v>
      </c>
    </row>
    <row r="21" spans="1:10" ht="15.75" customHeight="1">
      <c r="A21" s="43" t="s">
        <v>34</v>
      </c>
      <c r="B21" s="40">
        <v>-7.7999999999999996E-3</v>
      </c>
      <c r="C21" s="40">
        <v>0.16589999999999999</v>
      </c>
      <c r="D21" s="41">
        <v>0.22</v>
      </c>
      <c r="E21" s="40">
        <f t="shared" si="0"/>
        <v>1.8402369717568045E-2</v>
      </c>
      <c r="F21" s="41">
        <v>290</v>
      </c>
      <c r="G21" s="41">
        <f t="shared" si="3"/>
        <v>4.5220000000000003E-2</v>
      </c>
      <c r="H21" s="41">
        <f t="shared" si="1"/>
        <v>2.7522809999999998E-2</v>
      </c>
      <c r="I21" s="42">
        <f t="shared" si="2"/>
        <v>3.3864721122206542E-4</v>
      </c>
      <c r="J21" s="41" t="s">
        <v>112</v>
      </c>
    </row>
    <row r="22" spans="1:10" ht="15.75" customHeight="1">
      <c r="A22" s="43" t="s">
        <v>49</v>
      </c>
      <c r="B22" s="40">
        <v>6.3399999999999998E-2</v>
      </c>
      <c r="C22" s="40">
        <v>0.27639999999999998</v>
      </c>
      <c r="D22" s="41">
        <v>1.17</v>
      </c>
      <c r="E22" s="40">
        <f t="shared" si="0"/>
        <v>1.4296737577131314E-2</v>
      </c>
      <c r="F22" s="41">
        <v>225.3</v>
      </c>
      <c r="G22" s="41">
        <f t="shared" si="3"/>
        <v>9.3670000000000003E-2</v>
      </c>
      <c r="H22" s="41">
        <f t="shared" si="1"/>
        <v>7.6396959999999986E-2</v>
      </c>
      <c r="I22" s="42">
        <f t="shared" si="2"/>
        <v>2.0439670534935854E-4</v>
      </c>
      <c r="J22" s="41" t="s">
        <v>112</v>
      </c>
    </row>
    <row r="23" spans="1:10" ht="15.75" customHeight="1">
      <c r="A23" s="43" t="s">
        <v>63</v>
      </c>
      <c r="B23" s="40">
        <v>9.4799999999999995E-2</v>
      </c>
      <c r="C23" s="40">
        <v>0.37919999999999998</v>
      </c>
      <c r="D23" s="41">
        <v>0.97</v>
      </c>
      <c r="E23" s="40">
        <f t="shared" si="0"/>
        <v>1.4351944686284016E-2</v>
      </c>
      <c r="F23" s="41">
        <v>226.17</v>
      </c>
      <c r="G23" s="41">
        <f t="shared" si="3"/>
        <v>8.3470000000000003E-2</v>
      </c>
      <c r="H23" s="41">
        <f t="shared" si="1"/>
        <v>0.14379264</v>
      </c>
      <c r="I23" s="42">
        <f t="shared" si="2"/>
        <v>2.0597831627815601E-4</v>
      </c>
      <c r="J23" s="41" t="s">
        <v>112</v>
      </c>
    </row>
    <row r="24" spans="1:10" ht="15.75" customHeight="1">
      <c r="A24" s="43" t="s">
        <v>61</v>
      </c>
      <c r="B24" s="40">
        <v>0.30680000000000002</v>
      </c>
      <c r="C24" s="40">
        <v>0.28489999999999999</v>
      </c>
      <c r="D24" s="41">
        <v>0.72</v>
      </c>
      <c r="E24" s="40">
        <f t="shared" si="0"/>
        <v>1.5758139558495424E-2</v>
      </c>
      <c r="F24" s="41">
        <v>248.33</v>
      </c>
      <c r="G24" s="41">
        <f t="shared" si="3"/>
        <v>7.0720000000000005E-2</v>
      </c>
      <c r="H24" s="41">
        <f t="shared" si="1"/>
        <v>8.1168009999999999E-2</v>
      </c>
      <c r="I24" s="42">
        <f t="shared" si="2"/>
        <v>2.4831896234501837E-4</v>
      </c>
      <c r="J24" s="41" t="s">
        <v>112</v>
      </c>
    </row>
    <row r="25" spans="1:10" ht="15.75" customHeight="1">
      <c r="A25" s="43" t="s">
        <v>56</v>
      </c>
      <c r="B25" s="40">
        <v>0.43109999999999998</v>
      </c>
      <c r="C25" s="40">
        <v>0.4173</v>
      </c>
      <c r="D25" s="41">
        <v>1.36</v>
      </c>
      <c r="E25" s="40">
        <f t="shared" si="0"/>
        <v>1.3055529467904999E-2</v>
      </c>
      <c r="F25" s="41">
        <v>205.74</v>
      </c>
      <c r="G25" s="41">
        <f t="shared" si="3"/>
        <v>0.10336000000000001</v>
      </c>
      <c r="H25" s="41">
        <f t="shared" si="1"/>
        <v>0.17413929</v>
      </c>
      <c r="I25" s="42">
        <f t="shared" si="2"/>
        <v>1.704468496873358E-4</v>
      </c>
      <c r="J25" s="41" t="s">
        <v>112</v>
      </c>
    </row>
    <row r="26" spans="1:10" ht="15.75" customHeight="1">
      <c r="A26" s="43" t="s">
        <v>55</v>
      </c>
      <c r="B26" s="40">
        <v>0.34310000000000002</v>
      </c>
      <c r="C26" s="40">
        <v>0.33</v>
      </c>
      <c r="D26" s="41">
        <v>0.8</v>
      </c>
      <c r="E26" s="40">
        <f t="shared" si="0"/>
        <v>1.4874191247579138E-2</v>
      </c>
      <c r="F26" s="41">
        <v>234.4</v>
      </c>
      <c r="G26" s="41">
        <f t="shared" si="3"/>
        <v>7.4800000000000005E-2</v>
      </c>
      <c r="H26" s="41">
        <f t="shared" si="1"/>
        <v>0.10890000000000001</v>
      </c>
      <c r="I26" s="42">
        <f t="shared" si="2"/>
        <v>2.2124156526955984E-4</v>
      </c>
      <c r="J26" s="41" t="s">
        <v>112</v>
      </c>
    </row>
    <row r="27" spans="1:10" ht="15.75" customHeight="1">
      <c r="A27" s="43" t="s">
        <v>48</v>
      </c>
      <c r="B27" s="40">
        <v>0.36449999999999999</v>
      </c>
      <c r="C27" s="40">
        <v>0.52</v>
      </c>
      <c r="D27" s="41">
        <v>1.05</v>
      </c>
      <c r="E27" s="40">
        <f t="shared" si="0"/>
        <v>1.4849443233131374E-2</v>
      </c>
      <c r="F27" s="41">
        <v>234.01</v>
      </c>
      <c r="G27" s="41">
        <f t="shared" si="3"/>
        <v>8.7550000000000017E-2</v>
      </c>
      <c r="H27" s="41">
        <f t="shared" si="1"/>
        <v>0.27040000000000003</v>
      </c>
      <c r="I27" s="42">
        <f t="shared" si="2"/>
        <v>2.2050596433399115E-4</v>
      </c>
      <c r="J27" s="41" t="s">
        <v>112</v>
      </c>
    </row>
    <row r="28" spans="1:10" ht="15.75" customHeight="1">
      <c r="A28" s="43" t="s">
        <v>11</v>
      </c>
      <c r="B28" s="40">
        <v>5.3400000000000003E-2</v>
      </c>
      <c r="C28" s="40">
        <v>0.28000000000000003</v>
      </c>
      <c r="D28" s="41">
        <v>0.68</v>
      </c>
      <c r="E28" s="40">
        <f t="shared" si="0"/>
        <v>1.2691924024864775E-2</v>
      </c>
      <c r="F28" s="41">
        <v>200.01</v>
      </c>
      <c r="G28" s="41">
        <f t="shared" si="3"/>
        <v>6.8680000000000005E-2</v>
      </c>
      <c r="H28" s="41">
        <f t="shared" si="1"/>
        <v>7.8400000000000011E-2</v>
      </c>
      <c r="I28" s="42">
        <f t="shared" si="2"/>
        <v>1.6108493545293967E-4</v>
      </c>
      <c r="J28" s="41" t="s">
        <v>112</v>
      </c>
    </row>
    <row r="29" spans="1:10" ht="15.75" customHeight="1">
      <c r="A29" s="43" t="s">
        <v>13</v>
      </c>
      <c r="B29" s="40">
        <v>0.27100000000000002</v>
      </c>
      <c r="C29" s="40">
        <v>0.36</v>
      </c>
      <c r="D29" s="41">
        <v>0.88</v>
      </c>
      <c r="E29" s="40">
        <f t="shared" si="0"/>
        <v>1.3984531856405675E-2</v>
      </c>
      <c r="F29" s="41">
        <v>220.38</v>
      </c>
      <c r="G29" s="41">
        <f t="shared" si="3"/>
        <v>7.8880000000000006E-2</v>
      </c>
      <c r="H29" s="41">
        <f t="shared" si="1"/>
        <v>0.12959999999999999</v>
      </c>
      <c r="I29" s="42">
        <f t="shared" si="2"/>
        <v>1.9556713124282515E-4</v>
      </c>
      <c r="J29" s="41" t="s">
        <v>112</v>
      </c>
    </row>
    <row r="30" spans="1:10" ht="15.75" customHeight="1">
      <c r="A30" s="43" t="s">
        <v>41</v>
      </c>
      <c r="B30" s="40">
        <v>0.21199999999999999</v>
      </c>
      <c r="C30" s="40">
        <v>0.41</v>
      </c>
      <c r="D30" s="41">
        <v>1.48</v>
      </c>
      <c r="E30" s="40">
        <f t="shared" si="0"/>
        <v>1.14227950788256E-2</v>
      </c>
      <c r="F30" s="41">
        <v>180.01</v>
      </c>
      <c r="G30" s="41">
        <f t="shared" si="3"/>
        <v>0.10948000000000001</v>
      </c>
      <c r="H30" s="41">
        <f t="shared" si="1"/>
        <v>0.16809999999999997</v>
      </c>
      <c r="I30" s="42">
        <f t="shared" si="2"/>
        <v>1.3048024741284234E-4</v>
      </c>
      <c r="J30" s="41" t="s">
        <v>112</v>
      </c>
    </row>
    <row r="31" spans="1:10" ht="15.75" customHeight="1">
      <c r="A31" s="43" t="s">
        <v>18</v>
      </c>
      <c r="B31" s="40">
        <v>0.41499999999999998</v>
      </c>
      <c r="C31" s="40">
        <v>0.37</v>
      </c>
      <c r="D31" s="41">
        <v>1.39</v>
      </c>
      <c r="E31" s="40">
        <f t="shared" si="0"/>
        <v>1.2308647083160944E-2</v>
      </c>
      <c r="F31" s="41">
        <v>193.97</v>
      </c>
      <c r="G31" s="41">
        <f t="shared" si="3"/>
        <v>0.10489</v>
      </c>
      <c r="H31" s="41">
        <f t="shared" si="1"/>
        <v>0.13689999999999999</v>
      </c>
      <c r="I31" s="42">
        <f t="shared" si="2"/>
        <v>1.5150279301780642E-4</v>
      </c>
      <c r="J31" s="41" t="s">
        <v>112</v>
      </c>
    </row>
    <row r="32" spans="1:10" ht="15.75" customHeight="1">
      <c r="A32" s="43" t="s">
        <v>29</v>
      </c>
      <c r="B32" s="40">
        <v>0.23100000000000001</v>
      </c>
      <c r="C32" s="40">
        <v>0.16</v>
      </c>
      <c r="D32" s="41">
        <v>0.49</v>
      </c>
      <c r="E32" s="40">
        <f t="shared" si="0"/>
        <v>1.4278335207413744E-2</v>
      </c>
      <c r="F32" s="41">
        <v>225.01</v>
      </c>
      <c r="G32" s="41">
        <f t="shared" si="3"/>
        <v>5.8990000000000001E-2</v>
      </c>
      <c r="H32" s="41">
        <f t="shared" si="1"/>
        <v>2.5600000000000001E-2</v>
      </c>
      <c r="I32" s="42">
        <f t="shared" si="2"/>
        <v>2.0387085629527087E-4</v>
      </c>
      <c r="J32" s="41" t="s">
        <v>112</v>
      </c>
    </row>
    <row r="33" spans="1:10" ht="15.75" customHeight="1">
      <c r="A33" s="43" t="s">
        <v>51</v>
      </c>
      <c r="B33" s="40">
        <v>0.2223</v>
      </c>
      <c r="C33" s="40">
        <v>0.36</v>
      </c>
      <c r="D33" s="41">
        <v>1.25</v>
      </c>
      <c r="E33" s="40">
        <f t="shared" si="0"/>
        <v>1.2556127227638584E-2</v>
      </c>
      <c r="F33" s="41">
        <v>197.87</v>
      </c>
      <c r="G33" s="41">
        <f t="shared" si="3"/>
        <v>9.7750000000000004E-2</v>
      </c>
      <c r="H33" s="41">
        <f t="shared" si="1"/>
        <v>0.12959999999999999</v>
      </c>
      <c r="I33" s="42">
        <f t="shared" si="2"/>
        <v>1.5765633095664699E-4</v>
      </c>
      <c r="J33" s="41" t="s">
        <v>112</v>
      </c>
    </row>
    <row r="34" spans="1:10" ht="15.75" customHeight="1">
      <c r="A34" s="43" t="s">
        <v>37</v>
      </c>
      <c r="B34" s="40">
        <v>1.3899999999999999E-2</v>
      </c>
      <c r="C34" s="40">
        <v>0.47</v>
      </c>
      <c r="D34" s="41">
        <v>2.23</v>
      </c>
      <c r="E34" s="40">
        <f t="shared" ref="E34:E62" si="4">F34/(SUM($F$2:$F$61))</f>
        <v>7.5874874038952111E-3</v>
      </c>
      <c r="F34" s="41">
        <v>119.57</v>
      </c>
      <c r="G34" s="41">
        <f t="shared" si="3"/>
        <v>0.14773000000000003</v>
      </c>
      <c r="H34" s="41">
        <f t="shared" ref="H34:H61" si="5">C34^2</f>
        <v>0.22089999999999999</v>
      </c>
      <c r="I34" s="42">
        <f t="shared" ref="I34:I61" si="6">E34^2</f>
        <v>5.7569965104268492E-5</v>
      </c>
      <c r="J34" s="41" t="s">
        <v>112</v>
      </c>
    </row>
    <row r="35" spans="1:10" ht="15.75" customHeight="1">
      <c r="A35" s="43" t="s">
        <v>58</v>
      </c>
      <c r="B35" s="40">
        <v>0.33400000000000002</v>
      </c>
      <c r="C35" s="40">
        <v>0.42</v>
      </c>
      <c r="D35" s="41">
        <v>1.74</v>
      </c>
      <c r="E35" s="40">
        <f t="shared" si="4"/>
        <v>1.1739442750862375E-2</v>
      </c>
      <c r="F35" s="41">
        <v>185</v>
      </c>
      <c r="G35" s="41">
        <f t="shared" ref="G35:G61" si="7">0.034 + D35*(0.085-0.034)</f>
        <v>0.12274</v>
      </c>
      <c r="H35" s="41">
        <f t="shared" si="5"/>
        <v>0.17639999999999997</v>
      </c>
      <c r="I35" s="42">
        <f t="shared" si="6"/>
        <v>1.3781451610077517E-4</v>
      </c>
      <c r="J35" s="41" t="s">
        <v>112</v>
      </c>
    </row>
    <row r="36" spans="1:10" ht="15.75" customHeight="1">
      <c r="A36" s="43" t="s">
        <v>54</v>
      </c>
      <c r="B36" s="40">
        <v>0.1016</v>
      </c>
      <c r="C36" s="40">
        <v>0.18</v>
      </c>
      <c r="D36" s="41">
        <v>0.87</v>
      </c>
      <c r="E36" s="40">
        <f t="shared" si="4"/>
        <v>1.1333956052602859E-2</v>
      </c>
      <c r="F36" s="41">
        <v>178.61</v>
      </c>
      <c r="G36" s="41">
        <f t="shared" si="7"/>
        <v>7.8369999999999995E-2</v>
      </c>
      <c r="H36" s="41">
        <f t="shared" si="5"/>
        <v>3.2399999999999998E-2</v>
      </c>
      <c r="I36" s="42">
        <f t="shared" si="6"/>
        <v>1.2845855980233298E-4</v>
      </c>
      <c r="J36" s="41" t="s">
        <v>112</v>
      </c>
    </row>
    <row r="37" spans="1:10" ht="15.75" customHeight="1">
      <c r="A37" s="43" t="s">
        <v>27</v>
      </c>
      <c r="B37" s="40">
        <v>0.3372</v>
      </c>
      <c r="C37" s="40">
        <v>0.47294999999999998</v>
      </c>
      <c r="D37" s="41">
        <v>0.68</v>
      </c>
      <c r="E37" s="40">
        <f t="shared" si="4"/>
        <v>1.5352652860235906E-2</v>
      </c>
      <c r="F37" s="41">
        <v>241.94</v>
      </c>
      <c r="G37" s="41">
        <f t="shared" si="7"/>
        <v>6.8680000000000005E-2</v>
      </c>
      <c r="H37" s="41">
        <f t="shared" si="5"/>
        <v>0.2236817025</v>
      </c>
      <c r="I37" s="42">
        <f t="shared" si="6"/>
        <v>2.3570394984690976E-4</v>
      </c>
      <c r="J37" s="41" t="s">
        <v>112</v>
      </c>
    </row>
    <row r="38" spans="1:10" ht="15.75" customHeight="1">
      <c r="A38" s="43" t="s">
        <v>68</v>
      </c>
      <c r="B38" s="40">
        <v>0.64419999999999999</v>
      </c>
      <c r="C38" s="40">
        <v>0.5</v>
      </c>
      <c r="D38" s="41">
        <v>-0.06</v>
      </c>
      <c r="E38" s="40">
        <f t="shared" si="4"/>
        <v>1.1713425607468572E-2</v>
      </c>
      <c r="F38" s="41">
        <v>184.59</v>
      </c>
      <c r="G38" s="41">
        <f t="shared" si="7"/>
        <v>3.0940000000000002E-2</v>
      </c>
      <c r="H38" s="41">
        <f t="shared" si="5"/>
        <v>0.25</v>
      </c>
      <c r="I38" s="42">
        <f t="shared" si="6"/>
        <v>1.3720433946170049E-4</v>
      </c>
      <c r="J38" s="41" t="s">
        <v>112</v>
      </c>
    </row>
    <row r="39" spans="1:10" ht="15.75" customHeight="1">
      <c r="A39" s="43" t="s">
        <v>42</v>
      </c>
      <c r="B39" s="40">
        <v>0.18379999999999999</v>
      </c>
      <c r="C39" s="40">
        <v>0.26190000000000002</v>
      </c>
      <c r="D39" s="41">
        <v>0.93</v>
      </c>
      <c r="E39" s="40">
        <f t="shared" si="4"/>
        <v>9.03619809579893E-3</v>
      </c>
      <c r="F39" s="41">
        <v>142.4</v>
      </c>
      <c r="G39" s="41">
        <f t="shared" si="7"/>
        <v>8.1430000000000002E-2</v>
      </c>
      <c r="H39" s="41">
        <f t="shared" si="5"/>
        <v>6.8591610000000011E-2</v>
      </c>
      <c r="I39" s="42">
        <f t="shared" si="6"/>
        <v>8.1652876026520215E-5</v>
      </c>
      <c r="J39" s="41" t="s">
        <v>112</v>
      </c>
    </row>
    <row r="40" spans="1:10" ht="15.75" customHeight="1">
      <c r="A40" s="43" t="s">
        <v>26</v>
      </c>
      <c r="B40" s="40">
        <v>0.39950000000000002</v>
      </c>
      <c r="C40" s="40">
        <v>0.45</v>
      </c>
      <c r="D40" s="41">
        <v>0.35</v>
      </c>
      <c r="E40" s="40">
        <f t="shared" si="4"/>
        <v>7.6147736762350532E-3</v>
      </c>
      <c r="F40" s="41">
        <v>120</v>
      </c>
      <c r="G40" s="41">
        <f t="shared" si="7"/>
        <v>5.1850000000000007E-2</v>
      </c>
      <c r="H40" s="41">
        <f t="shared" si="5"/>
        <v>0.20250000000000001</v>
      </c>
      <c r="I40" s="42">
        <f t="shared" si="6"/>
        <v>5.7984778140282304E-5</v>
      </c>
      <c r="J40" s="41" t="s">
        <v>112</v>
      </c>
    </row>
    <row r="41" spans="1:10" ht="15.75" customHeight="1">
      <c r="A41" s="43" t="s">
        <v>44</v>
      </c>
      <c r="B41" s="40">
        <v>1.5809</v>
      </c>
      <c r="C41" s="40">
        <v>3.56E-2</v>
      </c>
      <c r="D41" s="41">
        <v>1.36</v>
      </c>
      <c r="E41" s="40">
        <f t="shared" si="4"/>
        <v>1.2658926672267758E-2</v>
      </c>
      <c r="F41" s="41">
        <v>199.49</v>
      </c>
      <c r="G41" s="41">
        <f t="shared" si="7"/>
        <v>0.10336000000000001</v>
      </c>
      <c r="H41" s="41">
        <f t="shared" si="5"/>
        <v>1.2673599999999999E-3</v>
      </c>
      <c r="I41" s="42">
        <f t="shared" si="6"/>
        <v>1.6024842449385206E-4</v>
      </c>
      <c r="J41" s="41" t="s">
        <v>112</v>
      </c>
    </row>
    <row r="42" spans="1:10" ht="15.75" customHeight="1">
      <c r="A42" s="43" t="s">
        <v>39</v>
      </c>
      <c r="B42" s="40">
        <v>0.23269999999999999</v>
      </c>
      <c r="C42" s="40">
        <v>7.6100000000000001E-2</v>
      </c>
      <c r="D42" s="41">
        <v>0.67</v>
      </c>
      <c r="E42" s="40">
        <f t="shared" si="4"/>
        <v>9.5184670952938172E-3</v>
      </c>
      <c r="F42" s="41">
        <v>150</v>
      </c>
      <c r="G42" s="41">
        <f t="shared" si="7"/>
        <v>6.8170000000000008E-2</v>
      </c>
      <c r="H42" s="41">
        <f t="shared" si="5"/>
        <v>5.7912099999999998E-3</v>
      </c>
      <c r="I42" s="42">
        <f t="shared" si="6"/>
        <v>9.0601215844191121E-5</v>
      </c>
      <c r="J42" s="41" t="s">
        <v>112</v>
      </c>
    </row>
    <row r="43" spans="1:10" ht="15.75" customHeight="1">
      <c r="A43" s="43" t="s">
        <v>25</v>
      </c>
      <c r="B43" s="40">
        <v>-1.8E-3</v>
      </c>
      <c r="C43" s="40">
        <v>0.19625000000000001</v>
      </c>
      <c r="D43" s="41">
        <f>(0.67+0.68+0.68)/3</f>
        <v>0.67666666666666675</v>
      </c>
      <c r="E43" s="40">
        <f t="shared" si="4"/>
        <v>6.9808437676884862E-3</v>
      </c>
      <c r="F43" s="41">
        <v>110.01</v>
      </c>
      <c r="G43" s="41">
        <f t="shared" si="7"/>
        <v>6.8510000000000015E-2</v>
      </c>
      <c r="H43" s="41">
        <f t="shared" si="5"/>
        <v>3.8514062500000001E-2</v>
      </c>
      <c r="I43" s="42">
        <f t="shared" si="6"/>
        <v>4.8732179708875182E-5</v>
      </c>
      <c r="J43" s="41" t="s">
        <v>112</v>
      </c>
    </row>
    <row r="44" spans="1:10" ht="15.75" customHeight="1">
      <c r="A44" s="43" t="s">
        <v>30</v>
      </c>
      <c r="B44" s="40">
        <v>0.23780000000000001</v>
      </c>
      <c r="C44" s="40">
        <f>(0.192+0.255+0.289)/3</f>
        <v>0.24533333333333332</v>
      </c>
      <c r="D44" s="41">
        <v>1.24</v>
      </c>
      <c r="E44" s="40">
        <f t="shared" si="4"/>
        <v>6.3456447301958778E-3</v>
      </c>
      <c r="F44" s="41">
        <v>100</v>
      </c>
      <c r="G44" s="41">
        <f t="shared" si="7"/>
        <v>9.7240000000000007E-2</v>
      </c>
      <c r="H44" s="41">
        <f t="shared" si="5"/>
        <v>6.018844444444444E-2</v>
      </c>
      <c r="I44" s="42">
        <f t="shared" si="6"/>
        <v>4.0267207041862718E-5</v>
      </c>
      <c r="J44" s="41" t="s">
        <v>112</v>
      </c>
    </row>
    <row r="45" spans="1:10" ht="15.75" customHeight="1">
      <c r="A45" s="43" t="s">
        <v>10</v>
      </c>
      <c r="B45" s="40">
        <v>0.1628</v>
      </c>
      <c r="C45" s="40">
        <v>7.1999999999999995E-2</v>
      </c>
      <c r="D45" s="41">
        <v>1.0900000000000001</v>
      </c>
      <c r="E45" s="40">
        <f t="shared" si="4"/>
        <v>8.8845371867472475E-3</v>
      </c>
      <c r="F45" s="41">
        <v>140.01</v>
      </c>
      <c r="G45" s="41">
        <f t="shared" si="7"/>
        <v>8.9590000000000003E-2</v>
      </c>
      <c r="H45" s="41">
        <f t="shared" si="5"/>
        <v>5.1839999999999994E-3</v>
      </c>
      <c r="I45" s="42">
        <f t="shared" si="6"/>
        <v>7.8935001022694694E-5</v>
      </c>
      <c r="J45" s="41" t="s">
        <v>112</v>
      </c>
    </row>
    <row r="46" spans="1:10" ht="15.75" customHeight="1">
      <c r="A46" s="43" t="s">
        <v>62</v>
      </c>
      <c r="B46" s="40">
        <v>0.2767</v>
      </c>
      <c r="C46" s="40">
        <v>6.54E-2</v>
      </c>
      <c r="D46" s="41">
        <v>0.66</v>
      </c>
      <c r="E46" s="40">
        <f t="shared" si="4"/>
        <v>8.1858817019526825E-3</v>
      </c>
      <c r="F46" s="41">
        <v>129</v>
      </c>
      <c r="G46" s="41">
        <f t="shared" si="7"/>
        <v>6.7659999999999998E-2</v>
      </c>
      <c r="H46" s="41">
        <f t="shared" si="5"/>
        <v>4.2771600000000003E-3</v>
      </c>
      <c r="I46" s="42">
        <f t="shared" si="6"/>
        <v>6.7008659238363747E-5</v>
      </c>
      <c r="J46" s="41" t="s">
        <v>112</v>
      </c>
    </row>
    <row r="47" spans="1:10" ht="15.75" customHeight="1">
      <c r="A47" s="43" t="s">
        <v>35</v>
      </c>
      <c r="B47" s="40">
        <v>0.25969999999999999</v>
      </c>
      <c r="C47" s="40">
        <v>5.5800000000000002E-2</v>
      </c>
      <c r="D47" s="41">
        <v>1.32</v>
      </c>
      <c r="E47" s="40">
        <f t="shared" si="4"/>
        <v>6.3456447301958778E-3</v>
      </c>
      <c r="F47" s="41">
        <v>100</v>
      </c>
      <c r="G47" s="41">
        <f t="shared" si="7"/>
        <v>0.10132000000000001</v>
      </c>
      <c r="H47" s="41">
        <f t="shared" si="5"/>
        <v>3.1136400000000004E-3</v>
      </c>
      <c r="I47" s="42">
        <f t="shared" si="6"/>
        <v>4.0267207041862718E-5</v>
      </c>
      <c r="J47" s="41" t="s">
        <v>112</v>
      </c>
    </row>
    <row r="48" spans="1:10" ht="15.75" customHeight="1">
      <c r="A48" s="43" t="s">
        <v>16</v>
      </c>
      <c r="B48" s="40">
        <v>0.25869999999999999</v>
      </c>
      <c r="C48" s="40">
        <v>0.13270000000000001</v>
      </c>
      <c r="D48" s="41">
        <v>1.47</v>
      </c>
      <c r="E48" s="40">
        <f t="shared" si="4"/>
        <v>6.9173873203865269E-3</v>
      </c>
      <c r="F48" s="41">
        <v>109.01</v>
      </c>
      <c r="G48" s="41">
        <f t="shared" si="7"/>
        <v>0.10897000000000001</v>
      </c>
      <c r="H48" s="41">
        <f t="shared" si="5"/>
        <v>1.7609290000000003E-2</v>
      </c>
      <c r="I48" s="42">
        <f t="shared" si="6"/>
        <v>4.7850247340244292E-5</v>
      </c>
      <c r="J48" s="41" t="s">
        <v>112</v>
      </c>
    </row>
    <row r="49" spans="1:10" ht="15.75" customHeight="1">
      <c r="A49" s="43" t="s">
        <v>67</v>
      </c>
      <c r="B49" s="40">
        <v>0.3962</v>
      </c>
      <c r="C49" s="40">
        <v>0.28089999999999998</v>
      </c>
      <c r="D49" s="41">
        <v>1.21</v>
      </c>
      <c r="E49" s="40">
        <f t="shared" si="4"/>
        <v>7.9250757035416314E-3</v>
      </c>
      <c r="F49" s="41">
        <v>124.89</v>
      </c>
      <c r="G49" s="41">
        <f t="shared" si="7"/>
        <v>9.5710000000000003E-2</v>
      </c>
      <c r="H49" s="41">
        <f t="shared" si="5"/>
        <v>7.8904809999999992E-2</v>
      </c>
      <c r="I49" s="42">
        <f t="shared" si="6"/>
        <v>6.2806824906865886E-5</v>
      </c>
      <c r="J49" s="41" t="s">
        <v>112</v>
      </c>
    </row>
    <row r="50" spans="1:10" ht="15.75" customHeight="1">
      <c r="A50" s="43" t="s">
        <v>21</v>
      </c>
      <c r="B50" s="40">
        <v>0.31659999999999999</v>
      </c>
      <c r="C50" s="40">
        <v>0.32450000000000001</v>
      </c>
      <c r="D50" s="41">
        <v>0.59</v>
      </c>
      <c r="E50" s="40">
        <f t="shared" si="4"/>
        <v>6.9167527559135071E-3</v>
      </c>
      <c r="F50" s="41">
        <v>109</v>
      </c>
      <c r="G50" s="41">
        <f t="shared" si="7"/>
        <v>6.4090000000000008E-2</v>
      </c>
      <c r="H50" s="41">
        <f t="shared" si="5"/>
        <v>0.10530025000000001</v>
      </c>
      <c r="I50" s="42">
        <f t="shared" si="6"/>
        <v>4.7841468686437098E-5</v>
      </c>
      <c r="J50" s="41" t="s">
        <v>112</v>
      </c>
    </row>
    <row r="51" spans="1:10" ht="15.75" customHeight="1">
      <c r="A51" s="43" t="s">
        <v>38</v>
      </c>
      <c r="B51" s="40">
        <v>0.1399</v>
      </c>
      <c r="C51" s="40">
        <v>1.4500000000000001E-2</v>
      </c>
      <c r="D51" s="41">
        <v>0.76</v>
      </c>
      <c r="E51" s="40">
        <f t="shared" si="4"/>
        <v>6.3132819420718784E-3</v>
      </c>
      <c r="F51" s="41">
        <v>99.49</v>
      </c>
      <c r="G51" s="41">
        <f t="shared" si="7"/>
        <v>7.2760000000000005E-2</v>
      </c>
      <c r="H51" s="41">
        <f t="shared" si="5"/>
        <v>2.1025000000000001E-4</v>
      </c>
      <c r="I51" s="42">
        <f t="shared" si="6"/>
        <v>3.9857528880090867E-5</v>
      </c>
      <c r="J51" s="41" t="s">
        <v>112</v>
      </c>
    </row>
    <row r="52" spans="1:10" ht="15.75" customHeight="1">
      <c r="A52" s="43" t="s">
        <v>24</v>
      </c>
      <c r="B52" s="40">
        <v>-4.2299999999999997E-2</v>
      </c>
      <c r="C52" s="40">
        <v>6.1499999999999999E-2</v>
      </c>
      <c r="D52" s="41">
        <v>7.0000000000000007E-2</v>
      </c>
      <c r="E52" s="40">
        <f t="shared" si="4"/>
        <v>6.3412027788847412E-3</v>
      </c>
      <c r="F52" s="41">
        <v>99.93</v>
      </c>
      <c r="G52" s="41">
        <f t="shared" si="7"/>
        <v>3.7570000000000006E-2</v>
      </c>
      <c r="H52" s="41">
        <f t="shared" si="5"/>
        <v>3.78225E-3</v>
      </c>
      <c r="I52" s="42">
        <f t="shared" si="6"/>
        <v>4.0210852682935567E-5</v>
      </c>
      <c r="J52" s="41" t="s">
        <v>112</v>
      </c>
    </row>
    <row r="53" spans="1:10" ht="15.75" customHeight="1">
      <c r="A53" s="43" t="s">
        <v>20</v>
      </c>
      <c r="B53" s="40">
        <v>0.3201</v>
      </c>
      <c r="C53" s="40">
        <v>0.28249999999999997</v>
      </c>
      <c r="D53" s="41">
        <v>1.1000000000000001</v>
      </c>
      <c r="E53" s="40">
        <f t="shared" si="4"/>
        <v>6.6629269667056717E-3</v>
      </c>
      <c r="F53" s="41">
        <v>105</v>
      </c>
      <c r="G53" s="41">
        <f t="shared" si="7"/>
        <v>9.0100000000000013E-2</v>
      </c>
      <c r="H53" s="41">
        <f t="shared" si="5"/>
        <v>7.9806249999999981E-2</v>
      </c>
      <c r="I53" s="42">
        <f t="shared" si="6"/>
        <v>4.4394595763653643E-5</v>
      </c>
      <c r="J53" s="41" t="s">
        <v>112</v>
      </c>
    </row>
    <row r="54" spans="1:10" ht="15.75" customHeight="1">
      <c r="A54" s="43" t="s">
        <v>64</v>
      </c>
      <c r="B54" s="40">
        <v>0.33729999999999999</v>
      </c>
      <c r="C54" s="40">
        <v>0.434</v>
      </c>
      <c r="D54" s="41">
        <v>1.19</v>
      </c>
      <c r="E54" s="40">
        <f t="shared" si="4"/>
        <v>5.5905130073025684E-3</v>
      </c>
      <c r="F54" s="41">
        <v>88.1</v>
      </c>
      <c r="G54" s="41">
        <f t="shared" si="7"/>
        <v>9.4689999999999996E-2</v>
      </c>
      <c r="H54" s="41">
        <f t="shared" si="5"/>
        <v>0.188356</v>
      </c>
      <c r="I54" s="42">
        <f t="shared" si="6"/>
        <v>3.1253835684819204E-5</v>
      </c>
      <c r="J54" s="41" t="s">
        <v>112</v>
      </c>
    </row>
    <row r="55" spans="1:10" ht="15.75" customHeight="1">
      <c r="A55" s="43" t="s">
        <v>47</v>
      </c>
      <c r="B55" s="40">
        <v>0.18990000000000001</v>
      </c>
      <c r="C55" s="40">
        <v>0.38200000000000001</v>
      </c>
      <c r="D55" s="41">
        <v>1.52</v>
      </c>
      <c r="E55" s="40">
        <f t="shared" si="4"/>
        <v>3.1728223650979389E-3</v>
      </c>
      <c r="F55" s="41">
        <v>50</v>
      </c>
      <c r="G55" s="41">
        <f t="shared" si="7"/>
        <v>0.11152000000000001</v>
      </c>
      <c r="H55" s="41">
        <f t="shared" si="5"/>
        <v>0.145924</v>
      </c>
      <c r="I55" s="42">
        <f t="shared" si="6"/>
        <v>1.006680176046568E-5</v>
      </c>
      <c r="J55" s="41" t="s">
        <v>112</v>
      </c>
    </row>
    <row r="56" spans="1:10" ht="15.75" customHeight="1">
      <c r="A56" s="43" t="s">
        <v>60</v>
      </c>
      <c r="B56" s="40">
        <v>0.14050000000000001</v>
      </c>
      <c r="C56" s="40">
        <v>0.28799999999999998</v>
      </c>
      <c r="D56" s="41">
        <v>1.21</v>
      </c>
      <c r="E56" s="40">
        <f t="shared" si="4"/>
        <v>2.6169438867327801E-3</v>
      </c>
      <c r="F56" s="41">
        <v>41.24</v>
      </c>
      <c r="G56" s="41">
        <f t="shared" si="7"/>
        <v>9.5710000000000003E-2</v>
      </c>
      <c r="H56" s="41">
        <f t="shared" si="5"/>
        <v>8.294399999999999E-2</v>
      </c>
      <c r="I56" s="42">
        <f t="shared" si="6"/>
        <v>6.8483953063080702E-6</v>
      </c>
      <c r="J56" s="41" t="s">
        <v>112</v>
      </c>
    </row>
    <row r="57" spans="1:10" ht="15.75" customHeight="1">
      <c r="A57" s="43" t="s">
        <v>59</v>
      </c>
      <c r="B57" s="40">
        <v>0.37419999999999998</v>
      </c>
      <c r="C57" s="40">
        <v>0.53949999999999998</v>
      </c>
      <c r="D57" s="41">
        <v>0.98</v>
      </c>
      <c r="E57" s="40">
        <f t="shared" si="4"/>
        <v>4.2027205048087305E-3</v>
      </c>
      <c r="F57" s="41">
        <v>66.23</v>
      </c>
      <c r="G57" s="41">
        <f t="shared" si="7"/>
        <v>8.3979999999999999E-2</v>
      </c>
      <c r="H57" s="41">
        <f t="shared" si="5"/>
        <v>0.29106024999999996</v>
      </c>
      <c r="I57" s="42">
        <f t="shared" si="6"/>
        <v>1.766285964153975E-5</v>
      </c>
      <c r="J57" s="41" t="s">
        <v>112</v>
      </c>
    </row>
    <row r="58" spans="1:10" ht="15.75" customHeight="1">
      <c r="A58" s="43" t="s">
        <v>33</v>
      </c>
      <c r="B58" s="40">
        <v>0.29330000000000001</v>
      </c>
      <c r="C58" s="40">
        <v>0.249</v>
      </c>
      <c r="D58" s="41">
        <v>0.9</v>
      </c>
      <c r="E58" s="40">
        <f t="shared" si="4"/>
        <v>1.7203042863561024E-3</v>
      </c>
      <c r="F58" s="41">
        <v>27.11</v>
      </c>
      <c r="G58" s="41">
        <f t="shared" si="7"/>
        <v>7.9899999999999999E-2</v>
      </c>
      <c r="H58" s="41">
        <f t="shared" si="5"/>
        <v>6.2001000000000001E-2</v>
      </c>
      <c r="I58" s="42">
        <f t="shared" si="6"/>
        <v>2.9594468376551787E-6</v>
      </c>
      <c r="J58" s="41" t="s">
        <v>112</v>
      </c>
    </row>
    <row r="59" spans="1:10" ht="15.75" customHeight="1">
      <c r="A59" s="43" t="s">
        <v>15</v>
      </c>
      <c r="B59" s="40">
        <v>14.3682</v>
      </c>
      <c r="C59" s="40">
        <v>0.50529999999999997</v>
      </c>
      <c r="D59" s="41">
        <v>1.28</v>
      </c>
      <c r="E59" s="40">
        <f t="shared" si="4"/>
        <v>9.5184670952938172E-3</v>
      </c>
      <c r="F59" s="41">
        <v>150</v>
      </c>
      <c r="G59" s="41">
        <f t="shared" si="7"/>
        <v>9.9280000000000007E-2</v>
      </c>
      <c r="H59" s="41">
        <f t="shared" si="5"/>
        <v>0.25532808999999995</v>
      </c>
      <c r="I59" s="42">
        <f t="shared" si="6"/>
        <v>9.0601215844191121E-5</v>
      </c>
      <c r="J59" s="41" t="s">
        <v>112</v>
      </c>
    </row>
    <row r="60" spans="1:10" ht="15.75" customHeight="1">
      <c r="A60" s="43" t="s">
        <v>22</v>
      </c>
      <c r="B60" s="40">
        <v>1.5509999999999999</v>
      </c>
      <c r="C60" s="40">
        <v>0.73299999999999998</v>
      </c>
      <c r="D60" s="41">
        <v>1.79</v>
      </c>
      <c r="E60" s="40">
        <f t="shared" si="4"/>
        <v>5.314477461539048E-3</v>
      </c>
      <c r="F60" s="41">
        <v>83.75</v>
      </c>
      <c r="G60" s="41">
        <f t="shared" si="7"/>
        <v>0.12529000000000001</v>
      </c>
      <c r="H60" s="41">
        <f t="shared" si="5"/>
        <v>0.53728900000000002</v>
      </c>
      <c r="I60" s="42">
        <f t="shared" si="6"/>
        <v>2.8243670689206525E-5</v>
      </c>
      <c r="J60" s="41" t="s">
        <v>112</v>
      </c>
    </row>
    <row r="61" spans="1:10" ht="15.75" customHeight="1">
      <c r="A61" s="43" t="s">
        <v>14</v>
      </c>
      <c r="B61" s="40">
        <v>0.82169999999999999</v>
      </c>
      <c r="C61" s="40">
        <v>0.315</v>
      </c>
      <c r="D61" s="41">
        <v>1.1639999999999999</v>
      </c>
      <c r="E61" s="40">
        <f t="shared" si="4"/>
        <v>6.5487053615621458E-4</v>
      </c>
      <c r="F61" s="41">
        <v>10.32</v>
      </c>
      <c r="G61" s="41">
        <f t="shared" si="7"/>
        <v>9.3364000000000003E-2</v>
      </c>
      <c r="H61" s="41">
        <f t="shared" si="5"/>
        <v>9.9225000000000008E-2</v>
      </c>
      <c r="I61" s="42">
        <f t="shared" si="6"/>
        <v>4.2885541912552795E-7</v>
      </c>
      <c r="J61" s="41" t="s">
        <v>112</v>
      </c>
    </row>
    <row r="62" spans="1:10" ht="15.75" customHeight="1">
      <c r="A62" s="44" t="s">
        <v>69</v>
      </c>
      <c r="B62" s="45">
        <v>5</v>
      </c>
      <c r="C62" s="46">
        <v>0.5877</v>
      </c>
      <c r="D62" s="47">
        <v>-0.69</v>
      </c>
      <c r="E62" s="46">
        <f t="shared" si="4"/>
        <v>5.5340367692038248E-3</v>
      </c>
      <c r="F62" s="47">
        <v>87.21</v>
      </c>
      <c r="G62" s="47">
        <f t="shared" ref="G62" si="8">0.034 + D62*(0.085-0.034)</f>
        <v>-1.1899999999999966E-3</v>
      </c>
      <c r="H62" s="47">
        <f t="shared" ref="H62" si="9">C62^2</f>
        <v>0.34539129000000002</v>
      </c>
      <c r="I62" s="48">
        <f t="shared" ref="I62" si="10">E62^2</f>
        <v>3.0625562962899909E-5</v>
      </c>
      <c r="J62" s="47" t="s">
        <v>112</v>
      </c>
    </row>
    <row r="63" spans="1:10" ht="15.75" customHeight="1">
      <c r="A63" s="2"/>
    </row>
    <row r="64" spans="1:10" ht="15.75" customHeight="1"/>
    <row r="65" spans="2:10" ht="15.75" customHeight="1"/>
    <row r="66" spans="2:10" ht="15.75" customHeight="1"/>
    <row r="67" spans="2:10" ht="15.75" customHeight="1"/>
    <row r="68" spans="2:10" ht="15.75" customHeight="1"/>
    <row r="69" spans="2:10" ht="15.75" customHeight="1"/>
    <row r="70" spans="2:10" ht="15.75" customHeight="1">
      <c r="B70" s="38"/>
      <c r="C70" s="38"/>
      <c r="D70" s="3"/>
      <c r="E70" s="37"/>
      <c r="F70" s="3"/>
      <c r="G70" s="3"/>
      <c r="H70" s="4"/>
      <c r="I70" s="4"/>
      <c r="J70" s="4"/>
    </row>
    <row r="71" spans="2:10" ht="15.75" customHeight="1">
      <c r="B71" s="39"/>
      <c r="C71" s="39"/>
      <c r="D71" s="5"/>
      <c r="F71" s="5"/>
      <c r="G71" s="5"/>
    </row>
    <row r="73" spans="2:10" ht="15.75" customHeight="1">
      <c r="B73" s="39"/>
      <c r="C73" s="39"/>
      <c r="D73" s="5"/>
      <c r="F73" s="5"/>
      <c r="G73" s="5"/>
    </row>
    <row r="74" spans="2:10" ht="15.75" customHeight="1">
      <c r="B74" s="39"/>
      <c r="C74" s="39"/>
      <c r="D74" s="5"/>
      <c r="F74" s="5"/>
      <c r="G74" s="5"/>
    </row>
    <row r="75" spans="2:10" ht="15.75" customHeight="1">
      <c r="B75" s="39"/>
      <c r="C75" s="39"/>
      <c r="D75" s="5"/>
      <c r="F75" s="5"/>
      <c r="G75" s="5"/>
    </row>
    <row r="76" spans="2:10" ht="15.75" customHeight="1">
      <c r="B76" s="39"/>
      <c r="C76" s="39"/>
      <c r="D76" s="5"/>
      <c r="F76" s="5"/>
      <c r="G76" s="5"/>
    </row>
    <row r="77" spans="2:10" ht="15.75" customHeight="1">
      <c r="B77" s="39"/>
      <c r="C77" s="39"/>
      <c r="D77" s="5"/>
      <c r="F77" s="5"/>
      <c r="G77" s="5"/>
    </row>
    <row r="78" spans="2:10" ht="15.75" customHeight="1">
      <c r="B78" s="39"/>
      <c r="C78" s="39"/>
      <c r="D78" s="5"/>
      <c r="F78" s="5"/>
      <c r="G78" s="5"/>
    </row>
    <row r="79" spans="2:10" ht="15.75" customHeight="1">
      <c r="B79" s="39"/>
      <c r="C79" s="39"/>
      <c r="D79" s="5"/>
      <c r="F79" s="5"/>
      <c r="G79" s="5"/>
    </row>
    <row r="80" spans="2:10" ht="15.75" customHeight="1">
      <c r="B80" s="39"/>
      <c r="C80" s="39"/>
      <c r="D80" s="5"/>
      <c r="F80" s="5"/>
      <c r="G80" s="5"/>
    </row>
    <row r="81" spans="2:7" ht="15.75" customHeight="1">
      <c r="B81" s="39"/>
      <c r="C81" s="39"/>
      <c r="D81" s="5"/>
      <c r="F81" s="5"/>
      <c r="G81" s="5"/>
    </row>
    <row r="82" spans="2:7" ht="15.75" customHeight="1">
      <c r="B82" s="39"/>
      <c r="C82" s="39"/>
      <c r="D82" s="5"/>
      <c r="F82" s="5"/>
      <c r="G82" s="5"/>
    </row>
    <row r="83" spans="2:7" ht="15.75" customHeight="1">
      <c r="B83" s="39"/>
      <c r="C83" s="39"/>
      <c r="D83" s="5"/>
      <c r="F83" s="5"/>
      <c r="G83" s="5"/>
    </row>
    <row r="84" spans="2:7" ht="15.75" customHeight="1">
      <c r="B84" s="39"/>
      <c r="C84" s="39"/>
      <c r="D84" s="5"/>
      <c r="F84" s="5"/>
      <c r="G84" s="5"/>
    </row>
    <row r="85" spans="2:7" ht="15.75" customHeight="1">
      <c r="B85" s="39"/>
      <c r="C85" s="39"/>
      <c r="D85" s="5"/>
      <c r="F85" s="5"/>
      <c r="G85" s="5"/>
    </row>
    <row r="86" spans="2:7" ht="15.75" customHeight="1">
      <c r="B86" s="39"/>
      <c r="C86" s="39"/>
      <c r="D86" s="5"/>
      <c r="F86" s="5"/>
      <c r="G86" s="5"/>
    </row>
    <row r="87" spans="2:7" ht="15.75" customHeight="1">
      <c r="B87" s="39"/>
      <c r="C87" s="39"/>
      <c r="D87" s="5"/>
      <c r="F87" s="5"/>
      <c r="G87" s="5"/>
    </row>
    <row r="88" spans="2:7" ht="15.75" customHeight="1">
      <c r="B88" s="39"/>
      <c r="C88" s="39"/>
      <c r="D88" s="5"/>
      <c r="F88" s="5"/>
      <c r="G88" s="5"/>
    </row>
    <row r="89" spans="2:7" ht="15.75" customHeight="1">
      <c r="B89" s="39"/>
      <c r="C89" s="39"/>
      <c r="D89" s="5"/>
      <c r="F89" s="5"/>
      <c r="G89" s="5"/>
    </row>
    <row r="90" spans="2:7" ht="15.75" customHeight="1">
      <c r="B90" s="39"/>
      <c r="C90" s="39"/>
      <c r="D90" s="5"/>
      <c r="F90" s="5"/>
      <c r="G90" s="5"/>
    </row>
    <row r="91" spans="2:7" ht="15.75" customHeight="1">
      <c r="B91" s="39"/>
      <c r="C91" s="39"/>
      <c r="D91" s="5"/>
      <c r="F91" s="5"/>
      <c r="G91" s="5"/>
    </row>
    <row r="92" spans="2:7" ht="15.75" customHeight="1">
      <c r="B92" s="39"/>
      <c r="C92" s="39"/>
      <c r="D92" s="5"/>
      <c r="F92" s="5"/>
      <c r="G92" s="5"/>
    </row>
    <row r="93" spans="2:7" ht="15.75" customHeight="1">
      <c r="B93" s="39"/>
      <c r="C93" s="39"/>
      <c r="D93" s="5"/>
      <c r="F93" s="5"/>
      <c r="G93" s="5"/>
    </row>
    <row r="94" spans="2:7" ht="15.75" customHeight="1">
      <c r="B94" s="39"/>
      <c r="C94" s="39"/>
      <c r="D94" s="5"/>
      <c r="F94" s="5"/>
      <c r="G94" s="5"/>
    </row>
    <row r="95" spans="2:7" ht="15.75" customHeight="1">
      <c r="B95" s="39"/>
      <c r="C95" s="39"/>
      <c r="D95" s="5"/>
      <c r="F95" s="5"/>
      <c r="G95" s="5"/>
    </row>
    <row r="96" spans="2:7" ht="15.75" customHeight="1">
      <c r="B96" s="39"/>
      <c r="C96" s="39"/>
      <c r="D96" s="5"/>
      <c r="F96" s="5"/>
      <c r="G96" s="5"/>
    </row>
    <row r="97" spans="2:7" ht="15.75" customHeight="1">
      <c r="B97" s="39"/>
      <c r="C97" s="39"/>
      <c r="D97" s="5"/>
      <c r="F97" s="5"/>
      <c r="G97" s="5"/>
    </row>
    <row r="98" spans="2:7" ht="15.75" customHeight="1">
      <c r="B98" s="39"/>
      <c r="C98" s="39"/>
      <c r="D98" s="5"/>
      <c r="F98" s="5"/>
      <c r="G98" s="5"/>
    </row>
    <row r="99" spans="2:7" ht="15.75" customHeight="1">
      <c r="B99" s="39"/>
      <c r="C99" s="39"/>
      <c r="D99" s="5"/>
      <c r="F99" s="5"/>
      <c r="G99" s="5"/>
    </row>
    <row r="100" spans="2:7" ht="15.75" customHeight="1">
      <c r="B100" s="39"/>
      <c r="C100" s="39"/>
      <c r="D100" s="5"/>
      <c r="F100" s="5"/>
      <c r="G100" s="5"/>
    </row>
    <row r="101" spans="2:7" ht="15.75" customHeight="1">
      <c r="B101" s="39"/>
      <c r="C101" s="39"/>
      <c r="D101" s="5"/>
      <c r="F101" s="5"/>
      <c r="G101" s="5"/>
    </row>
    <row r="102" spans="2:7" ht="15.75" customHeight="1">
      <c r="B102" s="39"/>
      <c r="C102" s="39"/>
      <c r="D102" s="5"/>
      <c r="F102" s="5"/>
      <c r="G102" s="5"/>
    </row>
    <row r="103" spans="2:7" ht="15.75" customHeight="1">
      <c r="B103" s="39"/>
      <c r="C103" s="39"/>
      <c r="D103" s="5"/>
      <c r="F103" s="5"/>
      <c r="G103" s="5"/>
    </row>
    <row r="104" spans="2:7" ht="15.75" customHeight="1">
      <c r="B104" s="39"/>
      <c r="C104" s="39"/>
      <c r="D104" s="5"/>
      <c r="F104" s="5"/>
      <c r="G104" s="5"/>
    </row>
    <row r="105" spans="2:7" ht="15.75" customHeight="1">
      <c r="B105" s="39"/>
      <c r="C105" s="39"/>
      <c r="D105" s="5"/>
      <c r="F105" s="5"/>
      <c r="G105" s="5"/>
    </row>
    <row r="106" spans="2:7" ht="15.75" customHeight="1">
      <c r="B106" s="39"/>
      <c r="C106" s="39"/>
      <c r="D106" s="5"/>
      <c r="F106" s="5"/>
      <c r="G106" s="5"/>
    </row>
    <row r="107" spans="2:7" ht="15.75" customHeight="1">
      <c r="B107" s="39"/>
      <c r="C107" s="39"/>
      <c r="D107" s="5"/>
      <c r="F107" s="5"/>
      <c r="G107" s="5"/>
    </row>
    <row r="108" spans="2:7" ht="15.75" customHeight="1">
      <c r="B108" s="39"/>
      <c r="C108" s="39"/>
      <c r="D108" s="5"/>
      <c r="F108" s="5"/>
      <c r="G108" s="5"/>
    </row>
    <row r="109" spans="2:7" ht="15.75" customHeight="1">
      <c r="B109" s="39"/>
      <c r="C109" s="39"/>
      <c r="D109" s="5"/>
      <c r="F109" s="5"/>
      <c r="G109" s="5"/>
    </row>
    <row r="110" spans="2:7" ht="15.75" customHeight="1">
      <c r="B110" s="39"/>
      <c r="C110" s="39"/>
      <c r="D110" s="5"/>
      <c r="F110" s="5"/>
      <c r="G110" s="5"/>
    </row>
    <row r="111" spans="2:7" ht="15.75" customHeight="1">
      <c r="B111" s="39"/>
      <c r="C111" s="39"/>
      <c r="D111" s="5"/>
      <c r="F111" s="5"/>
      <c r="G111" s="5"/>
    </row>
    <row r="112" spans="2:7" ht="15.75" customHeight="1">
      <c r="B112" s="39"/>
      <c r="C112" s="39"/>
      <c r="D112" s="5"/>
      <c r="F112" s="5"/>
      <c r="G112" s="5"/>
    </row>
    <row r="113" spans="2:7" ht="15.75" customHeight="1">
      <c r="B113" s="39"/>
      <c r="C113" s="39"/>
      <c r="D113" s="5"/>
      <c r="F113" s="5"/>
      <c r="G113" s="5"/>
    </row>
    <row r="114" spans="2:7" ht="15.75" customHeight="1">
      <c r="B114" s="39"/>
      <c r="C114" s="39"/>
      <c r="D114" s="5"/>
      <c r="F114" s="5"/>
      <c r="G114" s="5"/>
    </row>
    <row r="115" spans="2:7" ht="15.75" customHeight="1">
      <c r="B115" s="39"/>
      <c r="C115" s="39"/>
      <c r="D115" s="5"/>
      <c r="F115" s="5"/>
      <c r="G115" s="5"/>
    </row>
    <row r="116" spans="2:7" ht="15.75" customHeight="1">
      <c r="B116" s="39"/>
      <c r="C116" s="39"/>
      <c r="D116" s="5"/>
      <c r="F116" s="5"/>
      <c r="G116" s="5"/>
    </row>
    <row r="117" spans="2:7" ht="15.75" customHeight="1">
      <c r="B117" s="39"/>
      <c r="C117" s="39"/>
      <c r="D117" s="5"/>
      <c r="F117" s="5"/>
      <c r="G117" s="5"/>
    </row>
    <row r="118" spans="2:7" ht="15.75" customHeight="1">
      <c r="B118" s="39"/>
      <c r="C118" s="39"/>
      <c r="D118" s="5"/>
      <c r="F118" s="5"/>
      <c r="G118" s="5"/>
    </row>
    <row r="119" spans="2:7" ht="15.75" customHeight="1">
      <c r="B119" s="39"/>
      <c r="C119" s="39"/>
      <c r="D119" s="5"/>
      <c r="F119" s="5"/>
      <c r="G119" s="5"/>
    </row>
    <row r="120" spans="2:7" ht="15.75" customHeight="1">
      <c r="B120" s="39"/>
      <c r="C120" s="39"/>
      <c r="D120" s="5"/>
      <c r="F120" s="5"/>
      <c r="G120" s="5"/>
    </row>
    <row r="121" spans="2:7" ht="15.75" customHeight="1">
      <c r="B121" s="39"/>
      <c r="C121" s="39"/>
      <c r="D121" s="5"/>
      <c r="F121" s="5"/>
      <c r="G121" s="5"/>
    </row>
    <row r="122" spans="2:7" ht="15.75" customHeight="1">
      <c r="B122" s="39"/>
      <c r="C122" s="39"/>
      <c r="D122" s="5"/>
      <c r="F122" s="5"/>
      <c r="G122" s="5"/>
    </row>
    <row r="123" spans="2:7" ht="15.75" customHeight="1">
      <c r="B123" s="39"/>
      <c r="C123" s="39"/>
      <c r="D123" s="5"/>
      <c r="F123" s="5"/>
      <c r="G123" s="5"/>
    </row>
    <row r="124" spans="2:7" ht="15.75" customHeight="1">
      <c r="B124" s="39"/>
      <c r="C124" s="39"/>
      <c r="D124" s="5"/>
      <c r="F124" s="5"/>
      <c r="G124" s="5"/>
    </row>
    <row r="125" spans="2:7" ht="15.75" customHeight="1">
      <c r="B125" s="39"/>
      <c r="C125" s="39"/>
      <c r="D125" s="5"/>
      <c r="F125" s="5"/>
      <c r="G125" s="5"/>
    </row>
    <row r="126" spans="2:7" ht="15.75" customHeight="1">
      <c r="B126" s="39"/>
      <c r="C126" s="39"/>
      <c r="D126" s="5"/>
      <c r="F126" s="5"/>
      <c r="G126" s="5"/>
    </row>
    <row r="127" spans="2:7" ht="15.75" customHeight="1">
      <c r="B127" s="39"/>
      <c r="C127" s="39"/>
      <c r="D127" s="5"/>
      <c r="F127" s="5"/>
      <c r="G127" s="5"/>
    </row>
    <row r="128" spans="2:7" ht="15.75" customHeight="1">
      <c r="B128" s="39"/>
      <c r="C128" s="39"/>
      <c r="D128" s="5"/>
      <c r="F128" s="5"/>
      <c r="G128" s="5"/>
    </row>
    <row r="129" spans="2:7" ht="15.75" customHeight="1">
      <c r="B129" s="39"/>
      <c r="C129" s="39"/>
      <c r="D129" s="5"/>
      <c r="F129" s="5"/>
      <c r="G129" s="5"/>
    </row>
    <row r="130" spans="2:7" ht="15.75" customHeight="1">
      <c r="B130" s="39"/>
      <c r="C130" s="39"/>
      <c r="D130" s="5"/>
      <c r="F130" s="5"/>
      <c r="G130" s="5"/>
    </row>
    <row r="131" spans="2:7" ht="15.75" customHeight="1">
      <c r="B131" s="39"/>
      <c r="C131" s="39"/>
      <c r="D131" s="5"/>
      <c r="F131" s="5"/>
      <c r="G131" s="5"/>
    </row>
    <row r="132" spans="2:7" ht="15.75" customHeight="1">
      <c r="B132" s="39"/>
      <c r="C132" s="39"/>
      <c r="D132" s="5"/>
      <c r="F132" s="5"/>
      <c r="G132" s="5"/>
    </row>
    <row r="133" spans="2:7" ht="15.75" customHeight="1">
      <c r="B133" s="39"/>
      <c r="C133" s="39"/>
      <c r="D133" s="5"/>
      <c r="F133" s="5"/>
      <c r="G133" s="5"/>
    </row>
    <row r="134" spans="2:7" ht="15.75" customHeight="1">
      <c r="B134" s="39"/>
      <c r="C134" s="39"/>
      <c r="D134" s="5"/>
      <c r="F134" s="5"/>
      <c r="G134" s="5"/>
    </row>
    <row r="135" spans="2:7" ht="15.75" customHeight="1">
      <c r="B135" s="39"/>
      <c r="C135" s="39"/>
      <c r="D135" s="5"/>
      <c r="F135" s="5"/>
      <c r="G135" s="5"/>
    </row>
    <row r="136" spans="2:7" ht="15.75" customHeight="1">
      <c r="B136" s="39"/>
      <c r="C136" s="39"/>
      <c r="D136" s="5"/>
      <c r="F136" s="5"/>
      <c r="G136" s="5"/>
    </row>
    <row r="137" spans="2:7" ht="15.75" customHeight="1">
      <c r="B137" s="39"/>
      <c r="C137" s="39"/>
      <c r="D137" s="5"/>
      <c r="F137" s="5"/>
      <c r="G137" s="5"/>
    </row>
    <row r="138" spans="2:7" ht="15.75" customHeight="1">
      <c r="B138" s="39"/>
      <c r="C138" s="39"/>
      <c r="D138" s="5"/>
      <c r="F138" s="5"/>
      <c r="G138" s="5"/>
    </row>
    <row r="139" spans="2:7" ht="15.75" customHeight="1">
      <c r="B139" s="39"/>
      <c r="C139" s="39"/>
      <c r="D139" s="5"/>
      <c r="F139" s="5"/>
      <c r="G139" s="5"/>
    </row>
    <row r="140" spans="2:7" ht="15.75" customHeight="1">
      <c r="B140" s="39"/>
      <c r="C140" s="39"/>
      <c r="D140" s="5"/>
      <c r="F140" s="5"/>
      <c r="G140" s="5"/>
    </row>
    <row r="141" spans="2:7" ht="15.75" customHeight="1">
      <c r="B141" s="39"/>
      <c r="C141" s="39"/>
      <c r="D141" s="5"/>
      <c r="F141" s="5"/>
      <c r="G141" s="5"/>
    </row>
    <row r="142" spans="2:7" ht="15.75" customHeight="1">
      <c r="B142" s="39"/>
      <c r="C142" s="39"/>
      <c r="D142" s="5"/>
      <c r="F142" s="5"/>
      <c r="G142" s="5"/>
    </row>
    <row r="143" spans="2:7" ht="15.75" customHeight="1">
      <c r="B143" s="39"/>
      <c r="C143" s="39"/>
      <c r="D143" s="5"/>
      <c r="F143" s="5"/>
      <c r="G143" s="5"/>
    </row>
    <row r="144" spans="2:7" ht="15.75" customHeight="1">
      <c r="B144" s="39"/>
      <c r="C144" s="39"/>
      <c r="D144" s="5"/>
      <c r="F144" s="5"/>
      <c r="G144" s="5"/>
    </row>
    <row r="145" spans="2:7" ht="15.75" customHeight="1">
      <c r="B145" s="39"/>
      <c r="C145" s="39"/>
      <c r="D145" s="5"/>
      <c r="F145" s="5"/>
      <c r="G145" s="5"/>
    </row>
    <row r="146" spans="2:7" ht="15.75" customHeight="1">
      <c r="B146" s="39"/>
      <c r="C146" s="39"/>
      <c r="D146" s="5"/>
      <c r="F146" s="5"/>
      <c r="G146" s="5"/>
    </row>
    <row r="147" spans="2:7" ht="15.75" customHeight="1">
      <c r="B147" s="39"/>
      <c r="C147" s="39"/>
      <c r="D147" s="5"/>
      <c r="F147" s="5"/>
      <c r="G147" s="5"/>
    </row>
    <row r="148" spans="2:7" ht="15.75" customHeight="1">
      <c r="B148" s="39"/>
      <c r="C148" s="39"/>
      <c r="D148" s="5"/>
      <c r="F148" s="5"/>
      <c r="G148" s="5"/>
    </row>
    <row r="149" spans="2:7" ht="15.75" customHeight="1">
      <c r="B149" s="39"/>
      <c r="C149" s="39"/>
      <c r="D149" s="5"/>
      <c r="F149" s="5"/>
      <c r="G149" s="5"/>
    </row>
    <row r="150" spans="2:7" ht="15.75" customHeight="1">
      <c r="B150" s="39"/>
      <c r="C150" s="39"/>
      <c r="D150" s="5"/>
      <c r="F150" s="5"/>
      <c r="G150" s="5"/>
    </row>
    <row r="151" spans="2:7" ht="15.75" customHeight="1">
      <c r="B151" s="39"/>
      <c r="C151" s="39"/>
      <c r="D151" s="5"/>
      <c r="F151" s="5"/>
      <c r="G151" s="5"/>
    </row>
    <row r="152" spans="2:7" ht="15.75" customHeight="1">
      <c r="B152" s="39"/>
      <c r="C152" s="39"/>
      <c r="D152" s="5"/>
      <c r="F152" s="5"/>
      <c r="G152" s="5"/>
    </row>
    <row r="153" spans="2:7" ht="15.75" customHeight="1">
      <c r="B153" s="39"/>
      <c r="C153" s="39"/>
      <c r="D153" s="5"/>
      <c r="F153" s="5"/>
      <c r="G153" s="5"/>
    </row>
    <row r="154" spans="2:7" ht="15.75" customHeight="1">
      <c r="B154" s="39"/>
      <c r="C154" s="39"/>
      <c r="D154" s="5"/>
      <c r="F154" s="5"/>
      <c r="G154" s="5"/>
    </row>
    <row r="155" spans="2:7" ht="15.75" customHeight="1">
      <c r="B155" s="39"/>
      <c r="C155" s="39"/>
      <c r="D155" s="5"/>
      <c r="F155" s="5"/>
      <c r="G155" s="5"/>
    </row>
    <row r="156" spans="2:7" ht="15.75" customHeight="1">
      <c r="B156" s="39"/>
      <c r="C156" s="39"/>
      <c r="D156" s="5"/>
      <c r="F156" s="5"/>
      <c r="G156" s="5"/>
    </row>
    <row r="157" spans="2:7" ht="15.75" customHeight="1">
      <c r="B157" s="39"/>
      <c r="C157" s="39"/>
      <c r="D157" s="5"/>
      <c r="F157" s="5"/>
      <c r="G157" s="5"/>
    </row>
    <row r="158" spans="2:7" ht="15.75" customHeight="1">
      <c r="B158" s="39"/>
      <c r="C158" s="39"/>
      <c r="D158" s="5"/>
      <c r="F158" s="5"/>
      <c r="G158" s="5"/>
    </row>
    <row r="159" spans="2:7" ht="15.75" customHeight="1">
      <c r="B159" s="39"/>
      <c r="C159" s="39"/>
      <c r="D159" s="5"/>
      <c r="F159" s="5"/>
      <c r="G159" s="5"/>
    </row>
    <row r="160" spans="2:7" ht="15.75" customHeight="1">
      <c r="B160" s="39"/>
      <c r="C160" s="39"/>
      <c r="D160" s="5"/>
      <c r="F160" s="5"/>
      <c r="G160" s="5"/>
    </row>
    <row r="161" spans="2:7" ht="15.75" customHeight="1">
      <c r="B161" s="39"/>
      <c r="C161" s="39"/>
      <c r="D161" s="5"/>
      <c r="F161" s="5"/>
      <c r="G161" s="5"/>
    </row>
    <row r="162" spans="2:7" ht="15.75" customHeight="1">
      <c r="B162" s="39"/>
      <c r="C162" s="39"/>
      <c r="D162" s="5"/>
      <c r="F162" s="5"/>
      <c r="G162" s="5"/>
    </row>
    <row r="163" spans="2:7" ht="15.75" customHeight="1">
      <c r="B163" s="39"/>
      <c r="C163" s="39"/>
      <c r="D163" s="5"/>
      <c r="F163" s="5"/>
      <c r="G163" s="5"/>
    </row>
    <row r="164" spans="2:7" ht="15.75" customHeight="1">
      <c r="B164" s="39"/>
      <c r="C164" s="39"/>
      <c r="D164" s="5"/>
      <c r="F164" s="5"/>
      <c r="G164" s="5"/>
    </row>
    <row r="165" spans="2:7" ht="15.75" customHeight="1">
      <c r="B165" s="39"/>
      <c r="C165" s="39"/>
      <c r="D165" s="5"/>
      <c r="F165" s="5"/>
      <c r="G165" s="5"/>
    </row>
    <row r="166" spans="2:7" ht="15.75" customHeight="1">
      <c r="B166" s="39"/>
      <c r="C166" s="39"/>
      <c r="D166" s="5"/>
      <c r="F166" s="5"/>
      <c r="G166" s="5"/>
    </row>
    <row r="167" spans="2:7" ht="15.75" customHeight="1">
      <c r="B167" s="39"/>
      <c r="C167" s="39"/>
      <c r="D167" s="5"/>
      <c r="F167" s="5"/>
      <c r="G167" s="5"/>
    </row>
    <row r="168" spans="2:7" ht="15.75" customHeight="1">
      <c r="B168" s="39"/>
      <c r="C168" s="39"/>
      <c r="D168" s="5"/>
      <c r="F168" s="5"/>
      <c r="G168" s="5"/>
    </row>
    <row r="169" spans="2:7" ht="15.75" customHeight="1">
      <c r="B169" s="39"/>
      <c r="C169" s="39"/>
      <c r="D169" s="5"/>
      <c r="F169" s="5"/>
      <c r="G169" s="5"/>
    </row>
    <row r="170" spans="2:7" ht="15.75" customHeight="1">
      <c r="B170" s="39"/>
      <c r="C170" s="39"/>
      <c r="D170" s="5"/>
      <c r="F170" s="5"/>
      <c r="G170" s="5"/>
    </row>
    <row r="171" spans="2:7" ht="15.75" customHeight="1">
      <c r="B171" s="39"/>
      <c r="C171" s="39"/>
      <c r="D171" s="5"/>
      <c r="F171" s="5"/>
      <c r="G171" s="5"/>
    </row>
    <row r="172" spans="2:7" ht="15.75" customHeight="1">
      <c r="B172" s="39"/>
      <c r="C172" s="39"/>
      <c r="D172" s="5"/>
      <c r="F172" s="5"/>
      <c r="G172" s="5"/>
    </row>
    <row r="173" spans="2:7" ht="15.75" customHeight="1">
      <c r="B173" s="39"/>
      <c r="C173" s="39"/>
      <c r="D173" s="5"/>
      <c r="F173" s="5"/>
      <c r="G173" s="5"/>
    </row>
    <row r="174" spans="2:7" ht="15.75" customHeight="1">
      <c r="B174" s="39"/>
      <c r="C174" s="39"/>
      <c r="D174" s="5"/>
      <c r="F174" s="5"/>
      <c r="G174" s="5"/>
    </row>
    <row r="175" spans="2:7" ht="15.75" customHeight="1">
      <c r="B175" s="39"/>
      <c r="C175" s="39"/>
      <c r="D175" s="5"/>
      <c r="F175" s="5"/>
      <c r="G175" s="5"/>
    </row>
    <row r="176" spans="2:7" ht="15.75" customHeight="1">
      <c r="B176" s="39"/>
      <c r="C176" s="39"/>
      <c r="D176" s="5"/>
      <c r="F176" s="5"/>
      <c r="G176" s="5"/>
    </row>
    <row r="177" spans="2:7" ht="15.75" customHeight="1">
      <c r="B177" s="39"/>
      <c r="C177" s="39"/>
      <c r="D177" s="5"/>
      <c r="F177" s="5"/>
      <c r="G177" s="5"/>
    </row>
    <row r="178" spans="2:7" ht="15.75" customHeight="1">
      <c r="B178" s="39"/>
      <c r="C178" s="39"/>
      <c r="D178" s="5"/>
      <c r="F178" s="5"/>
      <c r="G178" s="5"/>
    </row>
    <row r="179" spans="2:7" ht="15.75" customHeight="1">
      <c r="B179" s="39"/>
      <c r="C179" s="39"/>
      <c r="D179" s="5"/>
      <c r="F179" s="5"/>
      <c r="G179" s="5"/>
    </row>
    <row r="180" spans="2:7" ht="15.75" customHeight="1">
      <c r="B180" s="39"/>
      <c r="C180" s="39"/>
      <c r="D180" s="5"/>
      <c r="F180" s="5"/>
      <c r="G180" s="5"/>
    </row>
    <row r="181" spans="2:7" ht="15.75" customHeight="1">
      <c r="B181" s="39"/>
      <c r="C181" s="39"/>
      <c r="D181" s="5"/>
      <c r="F181" s="5"/>
      <c r="G181" s="5"/>
    </row>
    <row r="182" spans="2:7" ht="15.75" customHeight="1">
      <c r="B182" s="39"/>
      <c r="C182" s="39"/>
      <c r="D182" s="5"/>
      <c r="F182" s="5"/>
      <c r="G182" s="5"/>
    </row>
    <row r="183" spans="2:7" ht="15.75" customHeight="1">
      <c r="B183" s="39"/>
      <c r="C183" s="39"/>
      <c r="D183" s="5"/>
      <c r="F183" s="5"/>
      <c r="G183" s="5"/>
    </row>
    <row r="184" spans="2:7" ht="15.75" customHeight="1">
      <c r="B184" s="39"/>
      <c r="C184" s="39"/>
      <c r="D184" s="5"/>
      <c r="F184" s="5"/>
      <c r="G184" s="5"/>
    </row>
    <row r="185" spans="2:7" ht="15.75" customHeight="1">
      <c r="B185" s="39"/>
      <c r="C185" s="39"/>
      <c r="D185" s="5"/>
      <c r="F185" s="5"/>
      <c r="G185" s="5"/>
    </row>
    <row r="186" spans="2:7" ht="15.75" customHeight="1">
      <c r="B186" s="39"/>
      <c r="C186" s="39"/>
      <c r="D186" s="5"/>
      <c r="F186" s="5"/>
      <c r="G186" s="5"/>
    </row>
    <row r="187" spans="2:7" ht="15.75" customHeight="1">
      <c r="B187" s="39"/>
      <c r="C187" s="39"/>
      <c r="D187" s="5"/>
      <c r="F187" s="5"/>
      <c r="G187" s="5"/>
    </row>
    <row r="188" spans="2:7" ht="15.75" customHeight="1">
      <c r="B188" s="39"/>
      <c r="C188" s="39"/>
      <c r="D188" s="5"/>
      <c r="F188" s="5"/>
      <c r="G188" s="5"/>
    </row>
    <row r="189" spans="2:7" ht="15.75" customHeight="1">
      <c r="B189" s="39"/>
      <c r="C189" s="39"/>
      <c r="D189" s="5"/>
      <c r="F189" s="5"/>
      <c r="G189" s="5"/>
    </row>
    <row r="190" spans="2:7" ht="15.75" customHeight="1">
      <c r="B190" s="39"/>
      <c r="C190" s="39"/>
      <c r="D190" s="5"/>
      <c r="F190" s="5"/>
      <c r="G190" s="5"/>
    </row>
    <row r="191" spans="2:7" ht="15.75" customHeight="1">
      <c r="B191" s="39"/>
      <c r="C191" s="39"/>
      <c r="D191" s="5"/>
      <c r="F191" s="5"/>
      <c r="G191" s="5"/>
    </row>
    <row r="192" spans="2:7" ht="15.75" customHeight="1">
      <c r="B192" s="39"/>
      <c r="C192" s="39"/>
      <c r="D192" s="5"/>
      <c r="F192" s="5"/>
      <c r="G192" s="5"/>
    </row>
    <row r="193" spans="2:7" ht="15.75" customHeight="1">
      <c r="B193" s="39"/>
      <c r="C193" s="39"/>
      <c r="D193" s="5"/>
      <c r="F193" s="5"/>
      <c r="G193" s="5"/>
    </row>
    <row r="194" spans="2:7" ht="15.75" customHeight="1">
      <c r="B194" s="39"/>
      <c r="C194" s="39"/>
      <c r="D194" s="5"/>
      <c r="F194" s="5"/>
      <c r="G194" s="5"/>
    </row>
    <row r="195" spans="2:7" ht="15.75" customHeight="1">
      <c r="B195" s="39"/>
      <c r="C195" s="39"/>
      <c r="D195" s="5"/>
      <c r="F195" s="5"/>
      <c r="G195" s="5"/>
    </row>
    <row r="196" spans="2:7" ht="15.75" customHeight="1">
      <c r="B196" s="39"/>
      <c r="C196" s="39"/>
      <c r="D196" s="5"/>
      <c r="F196" s="5"/>
      <c r="G196" s="5"/>
    </row>
    <row r="197" spans="2:7" ht="15.75" customHeight="1">
      <c r="B197" s="39"/>
      <c r="C197" s="39"/>
      <c r="D197" s="5"/>
      <c r="F197" s="5"/>
      <c r="G197" s="5"/>
    </row>
    <row r="198" spans="2:7" ht="15.75" customHeight="1">
      <c r="B198" s="39"/>
      <c r="C198" s="39"/>
      <c r="D198" s="5"/>
      <c r="F198" s="5"/>
      <c r="G198" s="5"/>
    </row>
    <row r="199" spans="2:7" ht="15.75" customHeight="1">
      <c r="B199" s="39"/>
      <c r="C199" s="39"/>
      <c r="D199" s="5"/>
      <c r="F199" s="5"/>
      <c r="G199" s="5"/>
    </row>
    <row r="200" spans="2:7" ht="15.75" customHeight="1">
      <c r="B200" s="39"/>
      <c r="C200" s="39"/>
      <c r="D200" s="5"/>
      <c r="F200" s="5"/>
      <c r="G200" s="5"/>
    </row>
    <row r="201" spans="2:7" ht="15.75" customHeight="1">
      <c r="B201" s="39"/>
      <c r="C201" s="39"/>
      <c r="D201" s="5"/>
      <c r="F201" s="5"/>
      <c r="G201" s="5"/>
    </row>
    <row r="202" spans="2:7" ht="15.75" customHeight="1">
      <c r="B202" s="39"/>
      <c r="C202" s="39"/>
      <c r="D202" s="5"/>
      <c r="F202" s="5"/>
      <c r="G202" s="5"/>
    </row>
    <row r="203" spans="2:7" ht="15.75" customHeight="1">
      <c r="B203" s="39"/>
      <c r="C203" s="39"/>
      <c r="D203" s="5"/>
      <c r="F203" s="5"/>
      <c r="G203" s="5"/>
    </row>
    <row r="204" spans="2:7" ht="15.75" customHeight="1">
      <c r="B204" s="39"/>
      <c r="C204" s="39"/>
      <c r="D204" s="5"/>
      <c r="F204" s="5"/>
      <c r="G204" s="5"/>
    </row>
    <row r="205" spans="2:7" ht="15.75" customHeight="1">
      <c r="B205" s="39"/>
      <c r="C205" s="39"/>
      <c r="D205" s="5"/>
      <c r="F205" s="5"/>
      <c r="G205" s="5"/>
    </row>
    <row r="206" spans="2:7" ht="15.75" customHeight="1">
      <c r="B206" s="39"/>
      <c r="C206" s="39"/>
      <c r="D206" s="5"/>
      <c r="F206" s="5"/>
      <c r="G206" s="5"/>
    </row>
    <row r="207" spans="2:7" ht="15.75" customHeight="1">
      <c r="B207" s="39"/>
      <c r="C207" s="39"/>
      <c r="D207" s="5"/>
      <c r="F207" s="5"/>
      <c r="G207" s="5"/>
    </row>
    <row r="208" spans="2:7" ht="15.75" customHeight="1">
      <c r="B208" s="39"/>
      <c r="C208" s="39"/>
      <c r="D208" s="5"/>
      <c r="F208" s="5"/>
      <c r="G208" s="5"/>
    </row>
    <row r="209" spans="2:7" ht="15.75" customHeight="1">
      <c r="B209" s="39"/>
      <c r="C209" s="39"/>
      <c r="D209" s="5"/>
      <c r="F209" s="5"/>
      <c r="G209" s="5"/>
    </row>
    <row r="210" spans="2:7" ht="15.75" customHeight="1">
      <c r="B210" s="39"/>
      <c r="C210" s="39"/>
      <c r="D210" s="5"/>
      <c r="F210" s="5"/>
      <c r="G210" s="5"/>
    </row>
    <row r="211" spans="2:7" ht="15.75" customHeight="1">
      <c r="B211" s="39"/>
      <c r="C211" s="39"/>
      <c r="D211" s="5"/>
      <c r="F211" s="5"/>
      <c r="G211" s="5"/>
    </row>
    <row r="212" spans="2:7" ht="15.75" customHeight="1">
      <c r="B212" s="39"/>
      <c r="C212" s="39"/>
      <c r="D212" s="5"/>
      <c r="F212" s="5"/>
      <c r="G212" s="5"/>
    </row>
    <row r="213" spans="2:7" ht="15.75" customHeight="1">
      <c r="B213" s="39"/>
      <c r="C213" s="39"/>
      <c r="D213" s="5"/>
      <c r="F213" s="5"/>
      <c r="G213" s="5"/>
    </row>
    <row r="214" spans="2:7" ht="15.75" customHeight="1">
      <c r="B214" s="39"/>
      <c r="C214" s="39"/>
      <c r="D214" s="5"/>
      <c r="F214" s="5"/>
      <c r="G214" s="5"/>
    </row>
    <row r="215" spans="2:7" ht="15.75" customHeight="1">
      <c r="B215" s="39"/>
      <c r="C215" s="39"/>
      <c r="D215" s="5"/>
      <c r="F215" s="5"/>
      <c r="G215" s="5"/>
    </row>
    <row r="216" spans="2:7" ht="15.75" customHeight="1">
      <c r="B216" s="39"/>
      <c r="C216" s="39"/>
      <c r="D216" s="5"/>
      <c r="F216" s="5"/>
      <c r="G216" s="5"/>
    </row>
    <row r="217" spans="2:7" ht="15.75" customHeight="1">
      <c r="B217" s="39"/>
      <c r="C217" s="39"/>
      <c r="D217" s="5"/>
      <c r="F217" s="5"/>
      <c r="G217" s="5"/>
    </row>
    <row r="218" spans="2:7" ht="15.75" customHeight="1">
      <c r="B218" s="39"/>
      <c r="C218" s="39"/>
      <c r="D218" s="5"/>
      <c r="F218" s="5"/>
      <c r="G218" s="5"/>
    </row>
    <row r="219" spans="2:7" ht="15.75" customHeight="1">
      <c r="B219" s="39"/>
      <c r="C219" s="39"/>
      <c r="D219" s="5"/>
      <c r="F219" s="5"/>
      <c r="G219" s="5"/>
    </row>
    <row r="220" spans="2:7" ht="15.75" customHeight="1">
      <c r="B220" s="39"/>
      <c r="C220" s="39"/>
      <c r="D220" s="5"/>
      <c r="F220" s="5"/>
      <c r="G220" s="5"/>
    </row>
    <row r="221" spans="2:7" ht="15.75" customHeight="1">
      <c r="B221" s="39"/>
      <c r="C221" s="39"/>
      <c r="D221" s="5"/>
      <c r="F221" s="5"/>
      <c r="G221" s="5"/>
    </row>
    <row r="222" spans="2:7" ht="15.75" customHeight="1">
      <c r="B222" s="39"/>
      <c r="C222" s="39"/>
      <c r="D222" s="5"/>
      <c r="F222" s="5"/>
      <c r="G222" s="5"/>
    </row>
    <row r="223" spans="2:7" ht="15.75" customHeight="1">
      <c r="B223" s="39"/>
      <c r="C223" s="39"/>
      <c r="D223" s="5"/>
      <c r="F223" s="5"/>
      <c r="G223" s="5"/>
    </row>
    <row r="224" spans="2:7" ht="15.75" customHeight="1">
      <c r="B224" s="39"/>
      <c r="C224" s="39"/>
      <c r="D224" s="5"/>
      <c r="F224" s="5"/>
      <c r="G224" s="5"/>
    </row>
    <row r="225" spans="2:7" ht="15.75" customHeight="1">
      <c r="B225" s="39"/>
      <c r="C225" s="39"/>
      <c r="D225" s="5"/>
      <c r="F225" s="5"/>
      <c r="G225" s="5"/>
    </row>
    <row r="226" spans="2:7" ht="15.75" customHeight="1">
      <c r="B226" s="39"/>
      <c r="C226" s="39"/>
      <c r="D226" s="5"/>
      <c r="F226" s="5"/>
      <c r="G226" s="5"/>
    </row>
    <row r="227" spans="2:7" ht="15.75" customHeight="1">
      <c r="B227" s="39"/>
      <c r="C227" s="39"/>
      <c r="D227" s="5"/>
      <c r="F227" s="5"/>
      <c r="G227" s="5"/>
    </row>
    <row r="228" spans="2:7" ht="15.75" customHeight="1">
      <c r="B228" s="39"/>
      <c r="C228" s="39"/>
      <c r="D228" s="5"/>
      <c r="F228" s="5"/>
      <c r="G228" s="5"/>
    </row>
    <row r="229" spans="2:7" ht="15.75" customHeight="1">
      <c r="B229" s="39"/>
      <c r="C229" s="39"/>
      <c r="D229" s="5"/>
      <c r="F229" s="5"/>
      <c r="G229" s="5"/>
    </row>
    <row r="230" spans="2:7" ht="15.75" customHeight="1">
      <c r="B230" s="39"/>
      <c r="C230" s="39"/>
      <c r="D230" s="5"/>
      <c r="F230" s="5"/>
      <c r="G230" s="5"/>
    </row>
    <row r="231" spans="2:7" ht="15.75" customHeight="1">
      <c r="B231" s="39"/>
      <c r="C231" s="39"/>
      <c r="D231" s="5"/>
      <c r="F231" s="5"/>
      <c r="G231" s="5"/>
    </row>
    <row r="232" spans="2:7" ht="15.75" customHeight="1">
      <c r="B232" s="39"/>
      <c r="C232" s="39"/>
      <c r="D232" s="5"/>
      <c r="F232" s="5"/>
      <c r="G232" s="5"/>
    </row>
    <row r="233" spans="2:7" ht="15.75" customHeight="1">
      <c r="B233" s="39"/>
      <c r="C233" s="39"/>
      <c r="D233" s="5"/>
      <c r="F233" s="5"/>
      <c r="G233" s="5"/>
    </row>
    <row r="234" spans="2:7" ht="15.75" customHeight="1">
      <c r="B234" s="39"/>
      <c r="C234" s="39"/>
      <c r="D234" s="5"/>
      <c r="F234" s="5"/>
      <c r="G234" s="5"/>
    </row>
    <row r="235" spans="2:7" ht="15.75" customHeight="1">
      <c r="B235" s="39"/>
      <c r="C235" s="39"/>
      <c r="D235" s="5"/>
      <c r="F235" s="5"/>
      <c r="G235" s="5"/>
    </row>
    <row r="236" spans="2:7" ht="15.75" customHeight="1">
      <c r="B236" s="39"/>
      <c r="C236" s="39"/>
      <c r="D236" s="5"/>
      <c r="F236" s="5"/>
      <c r="G236" s="5"/>
    </row>
    <row r="237" spans="2:7" ht="15.75" customHeight="1">
      <c r="B237" s="39"/>
      <c r="C237" s="39"/>
      <c r="D237" s="5"/>
      <c r="F237" s="5"/>
      <c r="G237" s="5"/>
    </row>
    <row r="238" spans="2:7" ht="15.75" customHeight="1">
      <c r="B238" s="39"/>
      <c r="C238" s="39"/>
      <c r="D238" s="5"/>
      <c r="F238" s="5"/>
      <c r="G238" s="5"/>
    </row>
    <row r="239" spans="2:7" ht="15.75" customHeight="1">
      <c r="B239" s="39"/>
      <c r="C239" s="39"/>
      <c r="D239" s="5"/>
      <c r="F239" s="5"/>
      <c r="G239" s="5"/>
    </row>
    <row r="240" spans="2:7" ht="15.75" customHeight="1">
      <c r="B240" s="39"/>
      <c r="C240" s="39"/>
      <c r="D240" s="5"/>
      <c r="F240" s="5"/>
      <c r="G240" s="5"/>
    </row>
    <row r="241" spans="2:7" ht="15.75" customHeight="1">
      <c r="B241" s="39"/>
      <c r="C241" s="39"/>
      <c r="D241" s="5"/>
      <c r="F241" s="5"/>
      <c r="G241" s="5"/>
    </row>
    <row r="242" spans="2:7" ht="15.75" customHeight="1">
      <c r="B242" s="39"/>
      <c r="C242" s="39"/>
      <c r="D242" s="5"/>
      <c r="F242" s="5"/>
      <c r="G242" s="5"/>
    </row>
    <row r="243" spans="2:7" ht="15.75" customHeight="1">
      <c r="B243" s="39"/>
      <c r="C243" s="39"/>
      <c r="D243" s="5"/>
      <c r="F243" s="5"/>
      <c r="G243" s="5"/>
    </row>
    <row r="244" spans="2:7" ht="15.75" customHeight="1">
      <c r="B244" s="39"/>
      <c r="C244" s="39"/>
      <c r="D244" s="5"/>
      <c r="F244" s="5"/>
      <c r="G244" s="5"/>
    </row>
    <row r="245" spans="2:7" ht="15.75" customHeight="1">
      <c r="B245" s="39"/>
      <c r="C245" s="39"/>
      <c r="D245" s="5"/>
      <c r="F245" s="5"/>
      <c r="G245" s="5"/>
    </row>
    <row r="246" spans="2:7" ht="15.75" customHeight="1">
      <c r="B246" s="39"/>
      <c r="C246" s="39"/>
      <c r="D246" s="5"/>
      <c r="F246" s="5"/>
      <c r="G246" s="5"/>
    </row>
    <row r="247" spans="2:7" ht="15.75" customHeight="1">
      <c r="B247" s="39"/>
      <c r="C247" s="39"/>
      <c r="D247" s="5"/>
      <c r="F247" s="5"/>
      <c r="G247" s="5"/>
    </row>
    <row r="248" spans="2:7" ht="15.75" customHeight="1">
      <c r="B248" s="39"/>
      <c r="C248" s="39"/>
      <c r="D248" s="5"/>
      <c r="F248" s="5"/>
      <c r="G248" s="5"/>
    </row>
    <row r="249" spans="2:7" ht="15.75" customHeight="1">
      <c r="B249" s="39"/>
      <c r="C249" s="39"/>
      <c r="D249" s="5"/>
      <c r="F249" s="5"/>
      <c r="G249" s="5"/>
    </row>
    <row r="250" spans="2:7" ht="15.75" customHeight="1">
      <c r="B250" s="39"/>
      <c r="C250" s="39"/>
      <c r="D250" s="5"/>
      <c r="F250" s="5"/>
      <c r="G250" s="5"/>
    </row>
    <row r="251" spans="2:7" ht="15.75" customHeight="1">
      <c r="B251" s="39"/>
      <c r="C251" s="39"/>
      <c r="D251" s="5"/>
      <c r="F251" s="5"/>
      <c r="G251" s="5"/>
    </row>
    <row r="252" spans="2:7" ht="15.75" customHeight="1">
      <c r="B252" s="39"/>
      <c r="C252" s="39"/>
      <c r="D252" s="5"/>
      <c r="F252" s="5"/>
      <c r="G252" s="5"/>
    </row>
    <row r="253" spans="2:7" ht="15.75" customHeight="1">
      <c r="B253" s="39"/>
      <c r="C253" s="39"/>
      <c r="D253" s="5"/>
      <c r="F253" s="5"/>
      <c r="G253" s="5"/>
    </row>
    <row r="254" spans="2:7" ht="15.75" customHeight="1">
      <c r="B254" s="39"/>
      <c r="C254" s="39"/>
      <c r="D254" s="5"/>
      <c r="F254" s="5"/>
      <c r="G254" s="5"/>
    </row>
    <row r="255" spans="2:7" ht="15.75" customHeight="1">
      <c r="B255" s="39"/>
      <c r="C255" s="39"/>
      <c r="D255" s="5"/>
      <c r="F255" s="5"/>
      <c r="G255" s="5"/>
    </row>
    <row r="256" spans="2:7" ht="15.75" customHeight="1">
      <c r="B256" s="39"/>
      <c r="C256" s="39"/>
      <c r="D256" s="5"/>
      <c r="F256" s="5"/>
      <c r="G256" s="5"/>
    </row>
    <row r="257" spans="2:7" ht="15.75" customHeight="1">
      <c r="B257" s="39"/>
      <c r="C257" s="39"/>
      <c r="D257" s="5"/>
      <c r="F257" s="5"/>
      <c r="G257" s="5"/>
    </row>
    <row r="258" spans="2:7" ht="15.75" customHeight="1">
      <c r="B258" s="39"/>
      <c r="C258" s="39"/>
      <c r="D258" s="5"/>
      <c r="F258" s="5"/>
      <c r="G258" s="5"/>
    </row>
    <row r="259" spans="2:7" ht="15.75" customHeight="1">
      <c r="B259" s="39"/>
      <c r="C259" s="39"/>
      <c r="D259" s="5"/>
      <c r="F259" s="5"/>
      <c r="G259" s="5"/>
    </row>
    <row r="260" spans="2:7" ht="15.75" customHeight="1">
      <c r="B260" s="39"/>
      <c r="C260" s="39"/>
      <c r="D260" s="5"/>
      <c r="F260" s="5"/>
      <c r="G260" s="5"/>
    </row>
    <row r="261" spans="2:7" ht="15.75" customHeight="1">
      <c r="B261" s="39"/>
      <c r="C261" s="39"/>
      <c r="D261" s="5"/>
      <c r="F261" s="5"/>
      <c r="G261" s="5"/>
    </row>
    <row r="262" spans="2:7" ht="15.75" customHeight="1">
      <c r="B262" s="39"/>
      <c r="C262" s="39"/>
      <c r="D262" s="5"/>
      <c r="F262" s="5"/>
      <c r="G262" s="5"/>
    </row>
    <row r="263" spans="2:7" ht="15.75" customHeight="1">
      <c r="B263" s="39"/>
      <c r="C263" s="39"/>
      <c r="D263" s="5"/>
      <c r="F263" s="5"/>
      <c r="G263" s="5"/>
    </row>
    <row r="264" spans="2:7" ht="15.75" customHeight="1">
      <c r="B264" s="39"/>
      <c r="C264" s="39"/>
      <c r="D264" s="5"/>
      <c r="F264" s="5"/>
      <c r="G264" s="5"/>
    </row>
    <row r="265" spans="2:7" ht="15.75" customHeight="1">
      <c r="B265" s="39"/>
      <c r="C265" s="39"/>
      <c r="D265" s="5"/>
      <c r="F265" s="5"/>
      <c r="G265" s="5"/>
    </row>
    <row r="266" spans="2:7" ht="15.75" customHeight="1">
      <c r="B266" s="39"/>
      <c r="C266" s="39"/>
      <c r="D266" s="5"/>
      <c r="F266" s="5"/>
      <c r="G266" s="5"/>
    </row>
    <row r="267" spans="2:7" ht="15.75" customHeight="1">
      <c r="B267" s="39"/>
      <c r="C267" s="39"/>
      <c r="D267" s="5"/>
      <c r="F267" s="5"/>
      <c r="G267" s="5"/>
    </row>
    <row r="268" spans="2:7" ht="15.75" customHeight="1">
      <c r="B268" s="39"/>
      <c r="C268" s="39"/>
      <c r="D268" s="5"/>
      <c r="F268" s="5"/>
      <c r="G268" s="5"/>
    </row>
    <row r="269" spans="2:7" ht="15.75" customHeight="1">
      <c r="B269" s="39"/>
      <c r="C269" s="39"/>
      <c r="D269" s="5"/>
      <c r="F269" s="5"/>
      <c r="G269" s="5"/>
    </row>
    <row r="270" spans="2:7" ht="15.75" customHeight="1">
      <c r="B270" s="39"/>
      <c r="C270" s="39"/>
      <c r="D270" s="5"/>
      <c r="F270" s="5"/>
      <c r="G270" s="5"/>
    </row>
    <row r="271" spans="2:7" ht="15.75" customHeight="1">
      <c r="B271" s="39"/>
      <c r="C271" s="39"/>
      <c r="D271" s="5"/>
      <c r="F271" s="5"/>
      <c r="G271" s="5"/>
    </row>
    <row r="272" spans="2:7" ht="15.75" customHeight="1">
      <c r="B272" s="39"/>
      <c r="C272" s="39"/>
      <c r="D272" s="5"/>
      <c r="F272" s="5"/>
      <c r="G272" s="5"/>
    </row>
    <row r="273" spans="2:7" ht="15.75" customHeight="1">
      <c r="B273" s="39"/>
      <c r="C273" s="39"/>
      <c r="D273" s="5"/>
      <c r="F273" s="5"/>
      <c r="G273" s="5"/>
    </row>
    <row r="274" spans="2:7" ht="15.75" customHeight="1">
      <c r="B274" s="39"/>
      <c r="C274" s="39"/>
      <c r="D274" s="5"/>
      <c r="F274" s="5"/>
      <c r="G274" s="5"/>
    </row>
    <row r="275" spans="2:7" ht="15.75" customHeight="1">
      <c r="B275" s="39"/>
      <c r="C275" s="39"/>
      <c r="D275" s="5"/>
      <c r="F275" s="5"/>
      <c r="G275" s="5"/>
    </row>
    <row r="276" spans="2:7" ht="15.75" customHeight="1">
      <c r="B276" s="39"/>
      <c r="C276" s="39"/>
      <c r="D276" s="5"/>
      <c r="F276" s="5"/>
      <c r="G276" s="5"/>
    </row>
    <row r="277" spans="2:7" ht="15.75" customHeight="1">
      <c r="B277" s="39"/>
      <c r="C277" s="39"/>
      <c r="D277" s="5"/>
      <c r="F277" s="5"/>
      <c r="G277" s="5"/>
    </row>
    <row r="278" spans="2:7" ht="15.75" customHeight="1">
      <c r="B278" s="39"/>
      <c r="C278" s="39"/>
      <c r="D278" s="5"/>
      <c r="F278" s="5"/>
      <c r="G278" s="5"/>
    </row>
    <row r="279" spans="2:7" ht="15.75" customHeight="1">
      <c r="B279" s="39"/>
      <c r="C279" s="39"/>
      <c r="D279" s="5"/>
      <c r="F279" s="5"/>
      <c r="G279" s="5"/>
    </row>
    <row r="280" spans="2:7" ht="15.75" customHeight="1">
      <c r="B280" s="39"/>
      <c r="C280" s="39"/>
      <c r="D280" s="5"/>
      <c r="F280" s="5"/>
      <c r="G280" s="5"/>
    </row>
    <row r="281" spans="2:7" ht="15.75" customHeight="1">
      <c r="B281" s="39"/>
      <c r="C281" s="39"/>
      <c r="D281" s="5"/>
      <c r="F281" s="5"/>
      <c r="G281" s="5"/>
    </row>
    <row r="282" spans="2:7" ht="15.75" customHeight="1">
      <c r="B282" s="39"/>
      <c r="C282" s="39"/>
      <c r="D282" s="5"/>
      <c r="F282" s="5"/>
      <c r="G282" s="5"/>
    </row>
    <row r="283" spans="2:7" ht="15.75" customHeight="1">
      <c r="B283" s="39"/>
      <c r="C283" s="39"/>
      <c r="D283" s="5"/>
      <c r="F283" s="5"/>
      <c r="G283" s="5"/>
    </row>
    <row r="284" spans="2:7" ht="15.75" customHeight="1">
      <c r="B284" s="39"/>
      <c r="C284" s="39"/>
      <c r="D284" s="5"/>
      <c r="F284" s="5"/>
      <c r="G284" s="5"/>
    </row>
    <row r="285" spans="2:7" ht="15.75" customHeight="1">
      <c r="B285" s="39"/>
      <c r="C285" s="39"/>
      <c r="D285" s="5"/>
      <c r="F285" s="5"/>
      <c r="G285" s="5"/>
    </row>
    <row r="286" spans="2:7" ht="15.75" customHeight="1">
      <c r="B286" s="39"/>
      <c r="C286" s="39"/>
      <c r="D286" s="5"/>
      <c r="F286" s="5"/>
      <c r="G286" s="5"/>
    </row>
    <row r="287" spans="2:7" ht="15.75" customHeight="1">
      <c r="B287" s="39"/>
      <c r="C287" s="39"/>
      <c r="D287" s="5"/>
      <c r="F287" s="5"/>
      <c r="G287" s="5"/>
    </row>
    <row r="288" spans="2:7" ht="15.75" customHeight="1">
      <c r="B288" s="39"/>
      <c r="C288" s="39"/>
      <c r="D288" s="5"/>
      <c r="F288" s="5"/>
      <c r="G288" s="5"/>
    </row>
    <row r="289" spans="2:7" ht="15.75" customHeight="1">
      <c r="B289" s="39"/>
      <c r="C289" s="39"/>
      <c r="D289" s="5"/>
      <c r="F289" s="5"/>
      <c r="G289" s="5"/>
    </row>
    <row r="290" spans="2:7" ht="15.75" customHeight="1">
      <c r="B290" s="39"/>
      <c r="C290" s="39"/>
      <c r="D290" s="5"/>
      <c r="F290" s="5"/>
      <c r="G290" s="5"/>
    </row>
    <row r="291" spans="2:7" ht="15.75" customHeight="1">
      <c r="B291" s="39"/>
      <c r="C291" s="39"/>
      <c r="D291" s="5"/>
      <c r="F291" s="5"/>
      <c r="G291" s="5"/>
    </row>
    <row r="292" spans="2:7" ht="15.75" customHeight="1">
      <c r="B292" s="39"/>
      <c r="C292" s="39"/>
      <c r="D292" s="5"/>
      <c r="F292" s="5"/>
      <c r="G292" s="5"/>
    </row>
    <row r="293" spans="2:7" ht="15.75" customHeight="1">
      <c r="B293" s="39"/>
      <c r="C293" s="39"/>
      <c r="D293" s="5"/>
      <c r="F293" s="5"/>
      <c r="G293" s="5"/>
    </row>
    <row r="294" spans="2:7" ht="15.75" customHeight="1">
      <c r="B294" s="39"/>
      <c r="C294" s="39"/>
      <c r="D294" s="5"/>
      <c r="F294" s="5"/>
      <c r="G294" s="5"/>
    </row>
    <row r="295" spans="2:7" ht="15.75" customHeight="1">
      <c r="B295" s="39"/>
      <c r="C295" s="39"/>
      <c r="D295" s="5"/>
      <c r="F295" s="5"/>
      <c r="G295" s="5"/>
    </row>
    <row r="296" spans="2:7" ht="15.75" customHeight="1">
      <c r="B296" s="39"/>
      <c r="C296" s="39"/>
      <c r="D296" s="5"/>
      <c r="F296" s="5"/>
      <c r="G296" s="5"/>
    </row>
    <row r="297" spans="2:7" ht="15.75" customHeight="1">
      <c r="B297" s="39"/>
      <c r="C297" s="39"/>
      <c r="D297" s="5"/>
      <c r="F297" s="5"/>
      <c r="G297" s="5"/>
    </row>
    <row r="298" spans="2:7" ht="15.75" customHeight="1">
      <c r="B298" s="39"/>
      <c r="C298" s="39"/>
      <c r="D298" s="5"/>
      <c r="F298" s="5"/>
      <c r="G298" s="5"/>
    </row>
    <row r="299" spans="2:7" ht="15.75" customHeight="1">
      <c r="B299" s="39"/>
      <c r="C299" s="39"/>
      <c r="D299" s="5"/>
      <c r="F299" s="5"/>
      <c r="G299" s="5"/>
    </row>
    <row r="300" spans="2:7" ht="15.75" customHeight="1">
      <c r="B300" s="39"/>
      <c r="C300" s="39"/>
      <c r="D300" s="5"/>
      <c r="F300" s="5"/>
      <c r="G300" s="5"/>
    </row>
    <row r="301" spans="2:7" ht="15.75" customHeight="1">
      <c r="B301" s="39"/>
      <c r="C301" s="39"/>
      <c r="D301" s="5"/>
      <c r="F301" s="5"/>
      <c r="G301" s="5"/>
    </row>
    <row r="302" spans="2:7" ht="15.75" customHeight="1">
      <c r="B302" s="39"/>
      <c r="C302" s="39"/>
      <c r="D302" s="5"/>
      <c r="F302" s="5"/>
      <c r="G302" s="5"/>
    </row>
    <row r="303" spans="2:7" ht="15.75" customHeight="1">
      <c r="B303" s="39"/>
      <c r="C303" s="39"/>
      <c r="D303" s="5"/>
      <c r="F303" s="5"/>
      <c r="G303" s="5"/>
    </row>
    <row r="304" spans="2:7" ht="15.75" customHeight="1">
      <c r="B304" s="39"/>
      <c r="C304" s="39"/>
      <c r="D304" s="5"/>
      <c r="F304" s="5"/>
      <c r="G304" s="5"/>
    </row>
    <row r="305" spans="2:7" ht="15.75" customHeight="1">
      <c r="B305" s="39"/>
      <c r="C305" s="39"/>
      <c r="D305" s="5"/>
      <c r="F305" s="5"/>
      <c r="G305" s="5"/>
    </row>
    <row r="306" spans="2:7" ht="15.75" customHeight="1">
      <c r="B306" s="39"/>
      <c r="C306" s="39"/>
      <c r="D306" s="5"/>
      <c r="F306" s="5"/>
      <c r="G306" s="5"/>
    </row>
    <row r="307" spans="2:7" ht="15.75" customHeight="1">
      <c r="B307" s="39"/>
      <c r="C307" s="39"/>
      <c r="D307" s="5"/>
      <c r="F307" s="5"/>
      <c r="G307" s="5"/>
    </row>
    <row r="308" spans="2:7" ht="15.75" customHeight="1">
      <c r="B308" s="39"/>
      <c r="C308" s="39"/>
      <c r="D308" s="5"/>
      <c r="F308" s="5"/>
      <c r="G308" s="5"/>
    </row>
    <row r="309" spans="2:7" ht="15.75" customHeight="1">
      <c r="B309" s="39"/>
      <c r="C309" s="39"/>
      <c r="D309" s="5"/>
      <c r="F309" s="5"/>
      <c r="G309" s="5"/>
    </row>
    <row r="310" spans="2:7" ht="15.75" customHeight="1">
      <c r="B310" s="39"/>
      <c r="C310" s="39"/>
      <c r="D310" s="5"/>
      <c r="F310" s="5"/>
      <c r="G310" s="5"/>
    </row>
    <row r="311" spans="2:7" ht="15.75" customHeight="1">
      <c r="B311" s="39"/>
      <c r="C311" s="39"/>
      <c r="D311" s="5"/>
      <c r="F311" s="5"/>
      <c r="G311" s="5"/>
    </row>
    <row r="312" spans="2:7" ht="15.75" customHeight="1">
      <c r="B312" s="39"/>
      <c r="C312" s="39"/>
      <c r="D312" s="5"/>
      <c r="F312" s="5"/>
      <c r="G312" s="5"/>
    </row>
    <row r="313" spans="2:7" ht="15.75" customHeight="1">
      <c r="B313" s="39"/>
      <c r="C313" s="39"/>
      <c r="D313" s="5"/>
      <c r="F313" s="5"/>
      <c r="G313" s="5"/>
    </row>
    <row r="314" spans="2:7" ht="15.75" customHeight="1">
      <c r="B314" s="39"/>
      <c r="C314" s="39"/>
      <c r="D314" s="5"/>
      <c r="F314" s="5"/>
      <c r="G314" s="5"/>
    </row>
    <row r="315" spans="2:7" ht="15.75" customHeight="1">
      <c r="B315" s="39"/>
      <c r="C315" s="39"/>
      <c r="D315" s="5"/>
      <c r="F315" s="5"/>
      <c r="G315" s="5"/>
    </row>
    <row r="316" spans="2:7" ht="15.75" customHeight="1">
      <c r="B316" s="39"/>
      <c r="C316" s="39"/>
      <c r="D316" s="5"/>
      <c r="F316" s="5"/>
      <c r="G316" s="5"/>
    </row>
    <row r="317" spans="2:7" ht="15.75" customHeight="1">
      <c r="B317" s="39"/>
      <c r="C317" s="39"/>
      <c r="D317" s="5"/>
      <c r="F317" s="5"/>
      <c r="G317" s="5"/>
    </row>
    <row r="318" spans="2:7" ht="15.75" customHeight="1">
      <c r="B318" s="39"/>
      <c r="C318" s="39"/>
      <c r="D318" s="5"/>
      <c r="F318" s="5"/>
      <c r="G318" s="5"/>
    </row>
    <row r="319" spans="2:7" ht="15.75" customHeight="1">
      <c r="B319" s="39"/>
      <c r="C319" s="39"/>
      <c r="D319" s="5"/>
      <c r="F319" s="5"/>
      <c r="G319" s="5"/>
    </row>
    <row r="320" spans="2:7" ht="15.75" customHeight="1">
      <c r="B320" s="39"/>
      <c r="C320" s="39"/>
      <c r="D320" s="5"/>
      <c r="F320" s="5"/>
      <c r="G320" s="5"/>
    </row>
    <row r="321" spans="2:7" ht="15.75" customHeight="1">
      <c r="B321" s="39"/>
      <c r="C321" s="39"/>
      <c r="D321" s="5"/>
      <c r="F321" s="5"/>
      <c r="G321" s="5"/>
    </row>
    <row r="322" spans="2:7" ht="15.75" customHeight="1">
      <c r="B322" s="39"/>
      <c r="C322" s="39"/>
      <c r="D322" s="5"/>
      <c r="F322" s="5"/>
      <c r="G322" s="5"/>
    </row>
    <row r="323" spans="2:7" ht="15.75" customHeight="1">
      <c r="B323" s="39"/>
      <c r="C323" s="39"/>
      <c r="D323" s="5"/>
      <c r="F323" s="5"/>
      <c r="G323" s="5"/>
    </row>
    <row r="324" spans="2:7" ht="15.75" customHeight="1">
      <c r="B324" s="39"/>
      <c r="C324" s="39"/>
      <c r="D324" s="5"/>
      <c r="F324" s="5"/>
      <c r="G324" s="5"/>
    </row>
    <row r="325" spans="2:7" ht="15.75" customHeight="1">
      <c r="B325" s="39"/>
      <c r="C325" s="39"/>
      <c r="D325" s="5"/>
      <c r="F325" s="5"/>
      <c r="G325" s="5"/>
    </row>
    <row r="326" spans="2:7" ht="15.75" customHeight="1">
      <c r="B326" s="39"/>
      <c r="C326" s="39"/>
      <c r="D326" s="5"/>
      <c r="F326" s="5"/>
      <c r="G326" s="5"/>
    </row>
    <row r="327" spans="2:7" ht="15.75" customHeight="1">
      <c r="B327" s="39"/>
      <c r="C327" s="39"/>
      <c r="D327" s="5"/>
      <c r="F327" s="5"/>
      <c r="G327" s="5"/>
    </row>
    <row r="328" spans="2:7" ht="15.75" customHeight="1">
      <c r="B328" s="39"/>
      <c r="C328" s="39"/>
      <c r="D328" s="5"/>
      <c r="F328" s="5"/>
      <c r="G328" s="5"/>
    </row>
    <row r="329" spans="2:7" ht="15.75" customHeight="1">
      <c r="B329" s="39"/>
      <c r="C329" s="39"/>
      <c r="D329" s="5"/>
      <c r="F329" s="5"/>
      <c r="G329" s="5"/>
    </row>
    <row r="330" spans="2:7" ht="15.75" customHeight="1">
      <c r="B330" s="39"/>
      <c r="C330" s="39"/>
      <c r="D330" s="5"/>
      <c r="F330" s="5"/>
      <c r="G330" s="5"/>
    </row>
    <row r="331" spans="2:7" ht="15.75" customHeight="1">
      <c r="B331" s="39"/>
      <c r="C331" s="39"/>
      <c r="D331" s="5"/>
      <c r="F331" s="5"/>
      <c r="G331" s="5"/>
    </row>
    <row r="332" spans="2:7" ht="15.75" customHeight="1">
      <c r="B332" s="39"/>
      <c r="C332" s="39"/>
      <c r="D332" s="5"/>
      <c r="F332" s="5"/>
      <c r="G332" s="5"/>
    </row>
    <row r="333" spans="2:7" ht="15.75" customHeight="1">
      <c r="B333" s="39"/>
      <c r="C333" s="39"/>
      <c r="D333" s="5"/>
      <c r="F333" s="5"/>
      <c r="G333" s="5"/>
    </row>
    <row r="334" spans="2:7" ht="15.75" customHeight="1">
      <c r="B334" s="39"/>
      <c r="C334" s="39"/>
      <c r="D334" s="5"/>
      <c r="F334" s="5"/>
      <c r="G334" s="5"/>
    </row>
    <row r="335" spans="2:7" ht="15.75" customHeight="1">
      <c r="B335" s="39"/>
      <c r="C335" s="39"/>
      <c r="D335" s="5"/>
      <c r="F335" s="5"/>
      <c r="G335" s="5"/>
    </row>
    <row r="336" spans="2:7" ht="15.75" customHeight="1">
      <c r="B336" s="39"/>
      <c r="C336" s="39"/>
      <c r="D336" s="5"/>
      <c r="F336" s="5"/>
      <c r="G336" s="5"/>
    </row>
    <row r="337" spans="2:7" ht="15.75" customHeight="1">
      <c r="B337" s="39"/>
      <c r="C337" s="39"/>
      <c r="D337" s="5"/>
      <c r="F337" s="5"/>
      <c r="G337" s="5"/>
    </row>
    <row r="338" spans="2:7" ht="15.75" customHeight="1">
      <c r="B338" s="39"/>
      <c r="C338" s="39"/>
      <c r="D338" s="5"/>
      <c r="F338" s="5"/>
      <c r="G338" s="5"/>
    </row>
    <row r="339" spans="2:7" ht="15.75" customHeight="1">
      <c r="B339" s="39"/>
      <c r="C339" s="39"/>
      <c r="D339" s="5"/>
      <c r="F339" s="5"/>
      <c r="G339" s="5"/>
    </row>
    <row r="340" spans="2:7" ht="15.75" customHeight="1">
      <c r="B340" s="39"/>
      <c r="C340" s="39"/>
      <c r="D340" s="5"/>
      <c r="F340" s="5"/>
      <c r="G340" s="5"/>
    </row>
    <row r="341" spans="2:7" ht="15.75" customHeight="1">
      <c r="B341" s="39"/>
      <c r="C341" s="39"/>
      <c r="D341" s="5"/>
      <c r="F341" s="5"/>
      <c r="G341" s="5"/>
    </row>
    <row r="342" spans="2:7" ht="15.75" customHeight="1">
      <c r="B342" s="39"/>
      <c r="C342" s="39"/>
      <c r="D342" s="5"/>
      <c r="F342" s="5"/>
      <c r="G342" s="5"/>
    </row>
    <row r="343" spans="2:7" ht="15.75" customHeight="1">
      <c r="B343" s="39"/>
      <c r="C343" s="39"/>
      <c r="D343" s="5"/>
      <c r="F343" s="5"/>
      <c r="G343" s="5"/>
    </row>
    <row r="344" spans="2:7" ht="15.75" customHeight="1">
      <c r="B344" s="39"/>
      <c r="C344" s="39"/>
      <c r="D344" s="5"/>
      <c r="F344" s="5"/>
      <c r="G344" s="5"/>
    </row>
    <row r="345" spans="2:7" ht="15.75" customHeight="1">
      <c r="B345" s="39"/>
      <c r="C345" s="39"/>
      <c r="D345" s="5"/>
      <c r="F345" s="5"/>
      <c r="G345" s="5"/>
    </row>
    <row r="346" spans="2:7" ht="15.75" customHeight="1">
      <c r="B346" s="39"/>
      <c r="C346" s="39"/>
      <c r="D346" s="5"/>
      <c r="F346" s="5"/>
      <c r="G346" s="5"/>
    </row>
    <row r="347" spans="2:7" ht="15.75" customHeight="1">
      <c r="B347" s="39"/>
      <c r="C347" s="39"/>
      <c r="D347" s="5"/>
      <c r="F347" s="5"/>
      <c r="G347" s="5"/>
    </row>
    <row r="348" spans="2:7" ht="15.75" customHeight="1">
      <c r="B348" s="39"/>
      <c r="C348" s="39"/>
      <c r="D348" s="5"/>
      <c r="F348" s="5"/>
      <c r="G348" s="5"/>
    </row>
    <row r="349" spans="2:7" ht="15.75" customHeight="1">
      <c r="B349" s="39"/>
      <c r="C349" s="39"/>
      <c r="D349" s="5"/>
      <c r="F349" s="5"/>
      <c r="G349" s="5"/>
    </row>
    <row r="350" spans="2:7" ht="15.75" customHeight="1">
      <c r="B350" s="39"/>
      <c r="C350" s="39"/>
      <c r="D350" s="5"/>
      <c r="F350" s="5"/>
      <c r="G350" s="5"/>
    </row>
    <row r="351" spans="2:7" ht="15.75" customHeight="1">
      <c r="B351" s="39"/>
      <c r="C351" s="39"/>
      <c r="D351" s="5"/>
      <c r="F351" s="5"/>
      <c r="G351" s="5"/>
    </row>
    <row r="352" spans="2:7" ht="15.75" customHeight="1">
      <c r="B352" s="39"/>
      <c r="C352" s="39"/>
      <c r="D352" s="5"/>
      <c r="F352" s="5"/>
      <c r="G352" s="5"/>
    </row>
    <row r="353" spans="2:7" ht="15.75" customHeight="1">
      <c r="B353" s="39"/>
      <c r="C353" s="39"/>
      <c r="D353" s="5"/>
      <c r="F353" s="5"/>
      <c r="G353" s="5"/>
    </row>
    <row r="354" spans="2:7" ht="15.75" customHeight="1">
      <c r="B354" s="39"/>
      <c r="C354" s="39"/>
      <c r="D354" s="5"/>
      <c r="F354" s="5"/>
      <c r="G354" s="5"/>
    </row>
    <row r="355" spans="2:7" ht="15.75" customHeight="1">
      <c r="B355" s="39"/>
      <c r="C355" s="39"/>
      <c r="D355" s="5"/>
      <c r="F355" s="5"/>
      <c r="G355" s="5"/>
    </row>
    <row r="356" spans="2:7" ht="15.75" customHeight="1">
      <c r="B356" s="39"/>
      <c r="C356" s="39"/>
      <c r="D356" s="5"/>
      <c r="F356" s="5"/>
      <c r="G356" s="5"/>
    </row>
    <row r="357" spans="2:7" ht="15.75" customHeight="1">
      <c r="B357" s="39"/>
      <c r="C357" s="39"/>
      <c r="D357" s="5"/>
      <c r="F357" s="5"/>
      <c r="G357" s="5"/>
    </row>
    <row r="358" spans="2:7" ht="15.75" customHeight="1">
      <c r="B358" s="39"/>
      <c r="C358" s="39"/>
      <c r="D358" s="5"/>
      <c r="F358" s="5"/>
      <c r="G358" s="5"/>
    </row>
    <row r="359" spans="2:7" ht="15.75" customHeight="1">
      <c r="B359" s="39"/>
      <c r="C359" s="39"/>
      <c r="D359" s="5"/>
      <c r="F359" s="5"/>
      <c r="G359" s="5"/>
    </row>
    <row r="360" spans="2:7" ht="15.75" customHeight="1">
      <c r="B360" s="39"/>
      <c r="C360" s="39"/>
      <c r="D360" s="5"/>
      <c r="F360" s="5"/>
      <c r="G360" s="5"/>
    </row>
    <row r="361" spans="2:7" ht="15.75" customHeight="1">
      <c r="B361" s="39"/>
      <c r="C361" s="39"/>
      <c r="D361" s="5"/>
      <c r="F361" s="5"/>
      <c r="G361" s="5"/>
    </row>
    <row r="362" spans="2:7" ht="15.75" customHeight="1">
      <c r="B362" s="39"/>
      <c r="C362" s="39"/>
      <c r="D362" s="5"/>
      <c r="F362" s="5"/>
      <c r="G362" s="5"/>
    </row>
    <row r="363" spans="2:7" ht="15.75" customHeight="1">
      <c r="B363" s="39"/>
      <c r="C363" s="39"/>
      <c r="D363" s="5"/>
      <c r="F363" s="5"/>
      <c r="G363" s="5"/>
    </row>
    <row r="364" spans="2:7" ht="15.75" customHeight="1">
      <c r="B364" s="39"/>
      <c r="C364" s="39"/>
      <c r="D364" s="5"/>
      <c r="F364" s="5"/>
      <c r="G364" s="5"/>
    </row>
    <row r="365" spans="2:7" ht="15.75" customHeight="1">
      <c r="B365" s="39"/>
      <c r="C365" s="39"/>
      <c r="D365" s="5"/>
      <c r="F365" s="5"/>
      <c r="G365" s="5"/>
    </row>
    <row r="366" spans="2:7" ht="15.75" customHeight="1">
      <c r="B366" s="39"/>
      <c r="C366" s="39"/>
      <c r="D366" s="5"/>
      <c r="F366" s="5"/>
      <c r="G366" s="5"/>
    </row>
    <row r="367" spans="2:7" ht="15.75" customHeight="1">
      <c r="B367" s="39"/>
      <c r="C367" s="39"/>
      <c r="D367" s="5"/>
      <c r="F367" s="5"/>
      <c r="G367" s="5"/>
    </row>
    <row r="368" spans="2:7" ht="15.75" customHeight="1">
      <c r="B368" s="39"/>
      <c r="C368" s="39"/>
      <c r="D368" s="5"/>
      <c r="F368" s="5"/>
      <c r="G368" s="5"/>
    </row>
    <row r="369" spans="2:7" ht="15.75" customHeight="1">
      <c r="B369" s="39"/>
      <c r="C369" s="39"/>
      <c r="D369" s="5"/>
      <c r="F369" s="5"/>
      <c r="G369" s="5"/>
    </row>
    <row r="370" spans="2:7" ht="15.75" customHeight="1">
      <c r="B370" s="39"/>
      <c r="C370" s="39"/>
      <c r="D370" s="5"/>
      <c r="F370" s="5"/>
      <c r="G370" s="5"/>
    </row>
    <row r="371" spans="2:7" ht="15.75" customHeight="1">
      <c r="B371" s="39"/>
      <c r="C371" s="39"/>
      <c r="D371" s="5"/>
      <c r="F371" s="5"/>
      <c r="G371" s="5"/>
    </row>
    <row r="372" spans="2:7" ht="15.75" customHeight="1">
      <c r="B372" s="39"/>
      <c r="C372" s="39"/>
      <c r="D372" s="5"/>
      <c r="F372" s="5"/>
      <c r="G372" s="5"/>
    </row>
    <row r="373" spans="2:7" ht="15.75" customHeight="1">
      <c r="B373" s="39"/>
      <c r="C373" s="39"/>
      <c r="D373" s="5"/>
      <c r="F373" s="5"/>
      <c r="G373" s="5"/>
    </row>
    <row r="374" spans="2:7" ht="15.75" customHeight="1">
      <c r="B374" s="39"/>
      <c r="C374" s="39"/>
      <c r="D374" s="5"/>
      <c r="F374" s="5"/>
      <c r="G374" s="5"/>
    </row>
    <row r="375" spans="2:7" ht="15.75" customHeight="1">
      <c r="B375" s="39"/>
      <c r="C375" s="39"/>
      <c r="D375" s="5"/>
      <c r="F375" s="5"/>
      <c r="G375" s="5"/>
    </row>
    <row r="376" spans="2:7" ht="15.75" customHeight="1">
      <c r="B376" s="39"/>
      <c r="C376" s="39"/>
      <c r="D376" s="5"/>
      <c r="F376" s="5"/>
      <c r="G376" s="5"/>
    </row>
    <row r="377" spans="2:7" ht="15.75" customHeight="1">
      <c r="B377" s="39"/>
      <c r="C377" s="39"/>
      <c r="D377" s="5"/>
      <c r="F377" s="5"/>
      <c r="G377" s="5"/>
    </row>
    <row r="378" spans="2:7" ht="15.75" customHeight="1">
      <c r="B378" s="39"/>
      <c r="C378" s="39"/>
      <c r="D378" s="5"/>
      <c r="F378" s="5"/>
      <c r="G378" s="5"/>
    </row>
    <row r="379" spans="2:7" ht="15.75" customHeight="1">
      <c r="B379" s="39"/>
      <c r="C379" s="39"/>
      <c r="D379" s="5"/>
      <c r="F379" s="5"/>
      <c r="G379" s="5"/>
    </row>
    <row r="380" spans="2:7" ht="15.75" customHeight="1">
      <c r="B380" s="39"/>
      <c r="C380" s="39"/>
      <c r="D380" s="5"/>
      <c r="F380" s="5"/>
      <c r="G380" s="5"/>
    </row>
    <row r="381" spans="2:7" ht="15.75" customHeight="1">
      <c r="B381" s="39"/>
      <c r="C381" s="39"/>
      <c r="D381" s="5"/>
      <c r="F381" s="5"/>
      <c r="G381" s="5"/>
    </row>
    <row r="382" spans="2:7" ht="15.75" customHeight="1">
      <c r="B382" s="39"/>
      <c r="C382" s="39"/>
      <c r="D382" s="5"/>
      <c r="F382" s="5"/>
      <c r="G382" s="5"/>
    </row>
    <row r="383" spans="2:7" ht="15.75" customHeight="1">
      <c r="B383" s="39"/>
      <c r="C383" s="39"/>
      <c r="D383" s="5"/>
      <c r="F383" s="5"/>
      <c r="G383" s="5"/>
    </row>
    <row r="384" spans="2:7" ht="15.75" customHeight="1">
      <c r="B384" s="39"/>
      <c r="C384" s="39"/>
      <c r="D384" s="5"/>
      <c r="F384" s="5"/>
      <c r="G384" s="5"/>
    </row>
    <row r="385" spans="2:7" ht="15.75" customHeight="1">
      <c r="B385" s="39"/>
      <c r="C385" s="39"/>
      <c r="D385" s="5"/>
      <c r="F385" s="5"/>
      <c r="G385" s="5"/>
    </row>
    <row r="386" spans="2:7" ht="15.75" customHeight="1">
      <c r="B386" s="39"/>
      <c r="C386" s="39"/>
      <c r="D386" s="5"/>
      <c r="F386" s="5"/>
      <c r="G386" s="5"/>
    </row>
    <row r="387" spans="2:7" ht="15.75" customHeight="1">
      <c r="B387" s="39"/>
      <c r="C387" s="39"/>
      <c r="D387" s="5"/>
      <c r="F387" s="5"/>
      <c r="G387" s="5"/>
    </row>
    <row r="388" spans="2:7" ht="15.75" customHeight="1">
      <c r="B388" s="39"/>
      <c r="C388" s="39"/>
      <c r="D388" s="5"/>
      <c r="F388" s="5"/>
      <c r="G388" s="5"/>
    </row>
    <row r="389" spans="2:7" ht="15.75" customHeight="1">
      <c r="B389" s="39"/>
      <c r="C389" s="39"/>
      <c r="D389" s="5"/>
      <c r="F389" s="5"/>
      <c r="G389" s="5"/>
    </row>
    <row r="390" spans="2:7" ht="15.75" customHeight="1">
      <c r="B390" s="39"/>
      <c r="C390" s="39"/>
      <c r="D390" s="5"/>
      <c r="F390" s="5"/>
      <c r="G390" s="5"/>
    </row>
    <row r="391" spans="2:7" ht="15.75" customHeight="1">
      <c r="B391" s="39"/>
      <c r="C391" s="39"/>
      <c r="D391" s="5"/>
      <c r="F391" s="5"/>
      <c r="G391" s="5"/>
    </row>
    <row r="392" spans="2:7" ht="15.75" customHeight="1">
      <c r="B392" s="39"/>
      <c r="C392" s="39"/>
      <c r="D392" s="5"/>
      <c r="F392" s="5"/>
      <c r="G392" s="5"/>
    </row>
    <row r="393" spans="2:7" ht="15.75" customHeight="1">
      <c r="B393" s="39"/>
      <c r="C393" s="39"/>
      <c r="D393" s="5"/>
      <c r="F393" s="5"/>
      <c r="G393" s="5"/>
    </row>
    <row r="394" spans="2:7" ht="15.75" customHeight="1">
      <c r="B394" s="39"/>
      <c r="C394" s="39"/>
      <c r="D394" s="5"/>
      <c r="F394" s="5"/>
      <c r="G394" s="5"/>
    </row>
    <row r="395" spans="2:7" ht="15.75" customHeight="1">
      <c r="B395" s="39"/>
      <c r="C395" s="39"/>
      <c r="D395" s="5"/>
      <c r="F395" s="5"/>
      <c r="G395" s="5"/>
    </row>
    <row r="396" spans="2:7" ht="15.75" customHeight="1">
      <c r="B396" s="39"/>
      <c r="C396" s="39"/>
      <c r="D396" s="5"/>
      <c r="F396" s="5"/>
      <c r="G396" s="5"/>
    </row>
    <row r="397" spans="2:7" ht="15.75" customHeight="1">
      <c r="B397" s="39"/>
      <c r="C397" s="39"/>
      <c r="D397" s="5"/>
      <c r="F397" s="5"/>
      <c r="G397" s="5"/>
    </row>
    <row r="398" spans="2:7" ht="15.75" customHeight="1">
      <c r="B398" s="39"/>
      <c r="C398" s="39"/>
      <c r="D398" s="5"/>
      <c r="F398" s="5"/>
      <c r="G398" s="5"/>
    </row>
    <row r="399" spans="2:7" ht="15.75" customHeight="1">
      <c r="B399" s="39"/>
      <c r="C399" s="39"/>
      <c r="D399" s="5"/>
      <c r="F399" s="5"/>
      <c r="G399" s="5"/>
    </row>
    <row r="400" spans="2:7" ht="15.75" customHeight="1">
      <c r="B400" s="39"/>
      <c r="C400" s="39"/>
      <c r="D400" s="5"/>
      <c r="F400" s="5"/>
      <c r="G400" s="5"/>
    </row>
    <row r="401" spans="2:7" ht="15.75" customHeight="1">
      <c r="B401" s="39"/>
      <c r="C401" s="39"/>
      <c r="D401" s="5"/>
      <c r="F401" s="5"/>
      <c r="G401" s="5"/>
    </row>
    <row r="402" spans="2:7" ht="15.75" customHeight="1">
      <c r="B402" s="39"/>
      <c r="C402" s="39"/>
      <c r="D402" s="5"/>
      <c r="F402" s="5"/>
      <c r="G402" s="5"/>
    </row>
    <row r="403" spans="2:7" ht="15.75" customHeight="1">
      <c r="B403" s="39"/>
      <c r="C403" s="39"/>
      <c r="D403" s="5"/>
      <c r="F403" s="5"/>
      <c r="G403" s="5"/>
    </row>
    <row r="404" spans="2:7" ht="15.75" customHeight="1">
      <c r="B404" s="39"/>
      <c r="C404" s="39"/>
      <c r="D404" s="5"/>
      <c r="F404" s="5"/>
      <c r="G404" s="5"/>
    </row>
    <row r="405" spans="2:7" ht="15.75" customHeight="1">
      <c r="B405" s="39"/>
      <c r="C405" s="39"/>
      <c r="D405" s="5"/>
      <c r="F405" s="5"/>
      <c r="G405" s="5"/>
    </row>
    <row r="406" spans="2:7" ht="15.75" customHeight="1">
      <c r="B406" s="39"/>
      <c r="C406" s="39"/>
      <c r="D406" s="5"/>
      <c r="F406" s="5"/>
      <c r="G406" s="5"/>
    </row>
    <row r="407" spans="2:7" ht="15.75" customHeight="1">
      <c r="B407" s="39"/>
      <c r="C407" s="39"/>
      <c r="D407" s="5"/>
      <c r="F407" s="5"/>
      <c r="G407" s="5"/>
    </row>
    <row r="408" spans="2:7" ht="15.75" customHeight="1">
      <c r="B408" s="39"/>
      <c r="C408" s="39"/>
      <c r="D408" s="5"/>
      <c r="F408" s="5"/>
      <c r="G408" s="5"/>
    </row>
    <row r="409" spans="2:7" ht="15.75" customHeight="1">
      <c r="B409" s="39"/>
      <c r="C409" s="39"/>
      <c r="D409" s="5"/>
      <c r="F409" s="5"/>
      <c r="G409" s="5"/>
    </row>
    <row r="410" spans="2:7" ht="15.75" customHeight="1">
      <c r="B410" s="39"/>
      <c r="C410" s="39"/>
      <c r="D410" s="5"/>
      <c r="F410" s="5"/>
      <c r="G410" s="5"/>
    </row>
    <row r="411" spans="2:7" ht="15.75" customHeight="1">
      <c r="B411" s="39"/>
      <c r="C411" s="39"/>
      <c r="D411" s="5"/>
      <c r="F411" s="5"/>
      <c r="G411" s="5"/>
    </row>
    <row r="412" spans="2:7" ht="15.75" customHeight="1">
      <c r="B412" s="39"/>
      <c r="C412" s="39"/>
      <c r="D412" s="5"/>
      <c r="F412" s="5"/>
      <c r="G412" s="5"/>
    </row>
    <row r="413" spans="2:7" ht="15.75" customHeight="1">
      <c r="B413" s="39"/>
      <c r="C413" s="39"/>
      <c r="D413" s="5"/>
      <c r="F413" s="5"/>
      <c r="G413" s="5"/>
    </row>
    <row r="414" spans="2:7" ht="15.75" customHeight="1">
      <c r="B414" s="39"/>
      <c r="C414" s="39"/>
      <c r="D414" s="5"/>
      <c r="F414" s="5"/>
      <c r="G414" s="5"/>
    </row>
    <row r="415" spans="2:7" ht="15.75" customHeight="1">
      <c r="B415" s="39"/>
      <c r="C415" s="39"/>
      <c r="D415" s="5"/>
      <c r="F415" s="5"/>
      <c r="G415" s="5"/>
    </row>
    <row r="416" spans="2:7" ht="15.75" customHeight="1">
      <c r="B416" s="39"/>
      <c r="C416" s="39"/>
      <c r="D416" s="5"/>
      <c r="F416" s="5"/>
      <c r="G416" s="5"/>
    </row>
    <row r="417" spans="2:7" ht="15.75" customHeight="1">
      <c r="B417" s="39"/>
      <c r="C417" s="39"/>
      <c r="D417" s="5"/>
      <c r="F417" s="5"/>
      <c r="G417" s="5"/>
    </row>
    <row r="418" spans="2:7" ht="15.75" customHeight="1">
      <c r="B418" s="39"/>
      <c r="C418" s="39"/>
      <c r="D418" s="5"/>
      <c r="F418" s="5"/>
      <c r="G418" s="5"/>
    </row>
    <row r="419" spans="2:7" ht="15.75" customHeight="1">
      <c r="B419" s="39"/>
      <c r="C419" s="39"/>
      <c r="D419" s="5"/>
      <c r="F419" s="5"/>
      <c r="G419" s="5"/>
    </row>
    <row r="420" spans="2:7" ht="15.75" customHeight="1">
      <c r="B420" s="39"/>
      <c r="C420" s="39"/>
      <c r="D420" s="5"/>
      <c r="F420" s="5"/>
      <c r="G420" s="5"/>
    </row>
    <row r="421" spans="2:7" ht="15.75" customHeight="1">
      <c r="B421" s="39"/>
      <c r="C421" s="39"/>
      <c r="D421" s="5"/>
      <c r="F421" s="5"/>
      <c r="G421" s="5"/>
    </row>
    <row r="422" spans="2:7" ht="15.75" customHeight="1">
      <c r="B422" s="39"/>
      <c r="C422" s="39"/>
      <c r="D422" s="5"/>
      <c r="F422" s="5"/>
      <c r="G422" s="5"/>
    </row>
    <row r="423" spans="2:7" ht="15.75" customHeight="1">
      <c r="B423" s="39"/>
      <c r="C423" s="39"/>
      <c r="D423" s="5"/>
      <c r="F423" s="5"/>
      <c r="G423" s="5"/>
    </row>
    <row r="424" spans="2:7" ht="15.75" customHeight="1">
      <c r="B424" s="39"/>
      <c r="C424" s="39"/>
      <c r="D424" s="5"/>
      <c r="F424" s="5"/>
      <c r="G424" s="5"/>
    </row>
    <row r="425" spans="2:7" ht="15.75" customHeight="1">
      <c r="B425" s="39"/>
      <c r="C425" s="39"/>
      <c r="D425" s="5"/>
      <c r="F425" s="5"/>
      <c r="G425" s="5"/>
    </row>
    <row r="426" spans="2:7" ht="15.75" customHeight="1">
      <c r="B426" s="39"/>
      <c r="C426" s="39"/>
      <c r="D426" s="5"/>
      <c r="F426" s="5"/>
      <c r="G426" s="5"/>
    </row>
    <row r="427" spans="2:7" ht="15.75" customHeight="1">
      <c r="B427" s="39"/>
      <c r="C427" s="39"/>
      <c r="D427" s="5"/>
      <c r="F427" s="5"/>
      <c r="G427" s="5"/>
    </row>
    <row r="428" spans="2:7" ht="15.75" customHeight="1">
      <c r="B428" s="39"/>
      <c r="C428" s="39"/>
      <c r="D428" s="5"/>
      <c r="F428" s="5"/>
      <c r="G428" s="5"/>
    </row>
    <row r="429" spans="2:7" ht="15.75" customHeight="1">
      <c r="B429" s="39"/>
      <c r="C429" s="39"/>
      <c r="D429" s="5"/>
      <c r="F429" s="5"/>
      <c r="G429" s="5"/>
    </row>
    <row r="430" spans="2:7" ht="15.75" customHeight="1">
      <c r="B430" s="39"/>
      <c r="C430" s="39"/>
      <c r="D430" s="5"/>
      <c r="F430" s="5"/>
      <c r="G430" s="5"/>
    </row>
    <row r="431" spans="2:7" ht="15.75" customHeight="1">
      <c r="B431" s="39"/>
      <c r="C431" s="39"/>
      <c r="D431" s="5"/>
      <c r="F431" s="5"/>
      <c r="G431" s="5"/>
    </row>
    <row r="432" spans="2:7" ht="15.75" customHeight="1">
      <c r="B432" s="39"/>
      <c r="C432" s="39"/>
      <c r="D432" s="5"/>
      <c r="F432" s="5"/>
      <c r="G432" s="5"/>
    </row>
    <row r="433" spans="2:7" ht="15.75" customHeight="1">
      <c r="B433" s="39"/>
      <c r="C433" s="39"/>
      <c r="D433" s="5"/>
      <c r="F433" s="5"/>
      <c r="G433" s="5"/>
    </row>
    <row r="434" spans="2:7" ht="15.75" customHeight="1">
      <c r="B434" s="39"/>
      <c r="C434" s="39"/>
      <c r="D434" s="5"/>
      <c r="F434" s="5"/>
      <c r="G434" s="5"/>
    </row>
    <row r="435" spans="2:7" ht="15.75" customHeight="1">
      <c r="B435" s="39"/>
      <c r="C435" s="39"/>
      <c r="D435" s="5"/>
      <c r="F435" s="5"/>
      <c r="G435" s="5"/>
    </row>
    <row r="436" spans="2:7" ht="15.75" customHeight="1">
      <c r="B436" s="39"/>
      <c r="C436" s="39"/>
      <c r="D436" s="5"/>
      <c r="F436" s="5"/>
      <c r="G436" s="5"/>
    </row>
    <row r="437" spans="2:7" ht="15.75" customHeight="1">
      <c r="B437" s="39"/>
      <c r="C437" s="39"/>
      <c r="D437" s="5"/>
      <c r="F437" s="5"/>
      <c r="G437" s="5"/>
    </row>
    <row r="438" spans="2:7" ht="15.75" customHeight="1">
      <c r="B438" s="39"/>
      <c r="C438" s="39"/>
      <c r="D438" s="5"/>
      <c r="F438" s="5"/>
      <c r="G438" s="5"/>
    </row>
    <row r="439" spans="2:7" ht="15.75" customHeight="1">
      <c r="B439" s="39"/>
      <c r="C439" s="39"/>
      <c r="D439" s="5"/>
      <c r="F439" s="5"/>
      <c r="G439" s="5"/>
    </row>
    <row r="440" spans="2:7" ht="15.75" customHeight="1">
      <c r="B440" s="39"/>
      <c r="C440" s="39"/>
      <c r="D440" s="5"/>
      <c r="F440" s="5"/>
      <c r="G440" s="5"/>
    </row>
    <row r="441" spans="2:7" ht="15.75" customHeight="1">
      <c r="B441" s="39"/>
      <c r="C441" s="39"/>
      <c r="D441" s="5"/>
      <c r="F441" s="5"/>
      <c r="G441" s="5"/>
    </row>
    <row r="442" spans="2:7" ht="15.75" customHeight="1">
      <c r="B442" s="39"/>
      <c r="C442" s="39"/>
      <c r="D442" s="5"/>
      <c r="F442" s="5"/>
      <c r="G442" s="5"/>
    </row>
    <row r="443" spans="2:7" ht="15.75" customHeight="1">
      <c r="B443" s="39"/>
      <c r="C443" s="39"/>
      <c r="D443" s="5"/>
      <c r="F443" s="5"/>
      <c r="G443" s="5"/>
    </row>
    <row r="444" spans="2:7" ht="15.75" customHeight="1">
      <c r="B444" s="39"/>
      <c r="C444" s="39"/>
      <c r="D444" s="5"/>
      <c r="F444" s="5"/>
      <c r="G444" s="5"/>
    </row>
    <row r="445" spans="2:7" ht="15.75" customHeight="1">
      <c r="B445" s="39"/>
      <c r="C445" s="39"/>
      <c r="D445" s="5"/>
      <c r="F445" s="5"/>
      <c r="G445" s="5"/>
    </row>
    <row r="446" spans="2:7" ht="15.75" customHeight="1">
      <c r="B446" s="39"/>
      <c r="C446" s="39"/>
      <c r="D446" s="5"/>
      <c r="F446" s="5"/>
      <c r="G446" s="5"/>
    </row>
    <row r="447" spans="2:7" ht="15.75" customHeight="1">
      <c r="B447" s="39"/>
      <c r="C447" s="39"/>
      <c r="D447" s="5"/>
      <c r="F447" s="5"/>
      <c r="G447" s="5"/>
    </row>
    <row r="448" spans="2:7" ht="15.75" customHeight="1">
      <c r="B448" s="39"/>
      <c r="C448" s="39"/>
      <c r="D448" s="5"/>
      <c r="F448" s="5"/>
      <c r="G448" s="5"/>
    </row>
    <row r="449" spans="2:7" ht="15.75" customHeight="1">
      <c r="B449" s="39"/>
      <c r="C449" s="39"/>
      <c r="D449" s="5"/>
      <c r="F449" s="5"/>
      <c r="G449" s="5"/>
    </row>
    <row r="450" spans="2:7" ht="15.75" customHeight="1">
      <c r="B450" s="39"/>
      <c r="C450" s="39"/>
      <c r="D450" s="5"/>
      <c r="F450" s="5"/>
      <c r="G450" s="5"/>
    </row>
    <row r="451" spans="2:7" ht="15.75" customHeight="1">
      <c r="B451" s="39"/>
      <c r="C451" s="39"/>
      <c r="D451" s="5"/>
      <c r="F451" s="5"/>
      <c r="G451" s="5"/>
    </row>
    <row r="452" spans="2:7" ht="15.75" customHeight="1">
      <c r="B452" s="39"/>
      <c r="C452" s="39"/>
      <c r="D452" s="5"/>
      <c r="F452" s="5"/>
      <c r="G452" s="5"/>
    </row>
    <row r="453" spans="2:7" ht="15.75" customHeight="1">
      <c r="B453" s="39"/>
      <c r="C453" s="39"/>
      <c r="D453" s="5"/>
      <c r="F453" s="5"/>
      <c r="G453" s="5"/>
    </row>
    <row r="454" spans="2:7" ht="15.75" customHeight="1">
      <c r="B454" s="39"/>
      <c r="C454" s="39"/>
      <c r="D454" s="5"/>
      <c r="F454" s="5"/>
      <c r="G454" s="5"/>
    </row>
    <row r="455" spans="2:7" ht="15.75" customHeight="1">
      <c r="B455" s="39"/>
      <c r="C455" s="39"/>
      <c r="D455" s="5"/>
      <c r="F455" s="5"/>
      <c r="G455" s="5"/>
    </row>
    <row r="456" spans="2:7" ht="15.75" customHeight="1">
      <c r="B456" s="39"/>
      <c r="C456" s="39"/>
      <c r="D456" s="5"/>
      <c r="F456" s="5"/>
      <c r="G456" s="5"/>
    </row>
    <row r="457" spans="2:7" ht="15.75" customHeight="1">
      <c r="B457" s="39"/>
      <c r="C457" s="39"/>
      <c r="D457" s="5"/>
      <c r="F457" s="5"/>
      <c r="G457" s="5"/>
    </row>
    <row r="458" spans="2:7" ht="15.75" customHeight="1">
      <c r="B458" s="39"/>
      <c r="C458" s="39"/>
      <c r="D458" s="5"/>
      <c r="F458" s="5"/>
      <c r="G458" s="5"/>
    </row>
    <row r="459" spans="2:7" ht="15.75" customHeight="1">
      <c r="B459" s="39"/>
      <c r="C459" s="39"/>
      <c r="D459" s="5"/>
      <c r="F459" s="5"/>
      <c r="G459" s="5"/>
    </row>
    <row r="460" spans="2:7" ht="15.75" customHeight="1">
      <c r="B460" s="39"/>
      <c r="C460" s="39"/>
      <c r="D460" s="5"/>
      <c r="F460" s="5"/>
      <c r="G460" s="5"/>
    </row>
    <row r="461" spans="2:7" ht="15.75" customHeight="1">
      <c r="B461" s="39"/>
      <c r="C461" s="39"/>
      <c r="D461" s="5"/>
      <c r="F461" s="5"/>
      <c r="G461" s="5"/>
    </row>
    <row r="462" spans="2:7" ht="15.75" customHeight="1">
      <c r="B462" s="39"/>
      <c r="C462" s="39"/>
      <c r="D462" s="5"/>
      <c r="F462" s="5"/>
      <c r="G462" s="5"/>
    </row>
    <row r="463" spans="2:7" ht="15.75" customHeight="1">
      <c r="B463" s="39"/>
      <c r="C463" s="39"/>
      <c r="D463" s="5"/>
      <c r="F463" s="5"/>
      <c r="G463" s="5"/>
    </row>
    <row r="464" spans="2:7" ht="15.75" customHeight="1">
      <c r="B464" s="39"/>
      <c r="C464" s="39"/>
      <c r="D464" s="5"/>
      <c r="F464" s="5"/>
      <c r="G464" s="5"/>
    </row>
    <row r="465" spans="2:7" ht="15.75" customHeight="1">
      <c r="B465" s="39"/>
      <c r="C465" s="39"/>
      <c r="D465" s="5"/>
      <c r="F465" s="5"/>
      <c r="G465" s="5"/>
    </row>
    <row r="466" spans="2:7" ht="15.75" customHeight="1">
      <c r="B466" s="39"/>
      <c r="C466" s="39"/>
      <c r="D466" s="5"/>
      <c r="F466" s="5"/>
      <c r="G466" s="5"/>
    </row>
    <row r="467" spans="2:7" ht="15.75" customHeight="1">
      <c r="B467" s="39"/>
      <c r="C467" s="39"/>
      <c r="D467" s="5"/>
      <c r="F467" s="5"/>
      <c r="G467" s="5"/>
    </row>
    <row r="468" spans="2:7" ht="15.75" customHeight="1">
      <c r="B468" s="39"/>
      <c r="C468" s="39"/>
      <c r="D468" s="5"/>
      <c r="F468" s="5"/>
      <c r="G468" s="5"/>
    </row>
    <row r="469" spans="2:7" ht="15.75" customHeight="1">
      <c r="B469" s="39"/>
      <c r="C469" s="39"/>
      <c r="D469" s="5"/>
      <c r="F469" s="5"/>
      <c r="G469" s="5"/>
    </row>
    <row r="470" spans="2:7" ht="15.75" customHeight="1">
      <c r="B470" s="39"/>
      <c r="C470" s="39"/>
      <c r="D470" s="5"/>
      <c r="F470" s="5"/>
      <c r="G470" s="5"/>
    </row>
    <row r="471" spans="2:7" ht="15.75" customHeight="1">
      <c r="B471" s="39"/>
      <c r="C471" s="39"/>
      <c r="D471" s="5"/>
      <c r="F471" s="5"/>
      <c r="G471" s="5"/>
    </row>
    <row r="472" spans="2:7" ht="15.75" customHeight="1">
      <c r="B472" s="39"/>
      <c r="C472" s="39"/>
      <c r="D472" s="5"/>
      <c r="F472" s="5"/>
      <c r="G472" s="5"/>
    </row>
    <row r="473" spans="2:7" ht="15.75" customHeight="1">
      <c r="B473" s="39"/>
      <c r="C473" s="39"/>
      <c r="D473" s="5"/>
      <c r="F473" s="5"/>
      <c r="G473" s="5"/>
    </row>
    <row r="474" spans="2:7" ht="15.75" customHeight="1">
      <c r="B474" s="39"/>
      <c r="C474" s="39"/>
      <c r="D474" s="5"/>
      <c r="F474" s="5"/>
      <c r="G474" s="5"/>
    </row>
    <row r="475" spans="2:7" ht="15.75" customHeight="1">
      <c r="B475" s="39"/>
      <c r="C475" s="39"/>
      <c r="D475" s="5"/>
      <c r="F475" s="5"/>
      <c r="G475" s="5"/>
    </row>
    <row r="476" spans="2:7" ht="15.75" customHeight="1">
      <c r="B476" s="39"/>
      <c r="C476" s="39"/>
      <c r="D476" s="5"/>
      <c r="F476" s="5"/>
      <c r="G476" s="5"/>
    </row>
    <row r="477" spans="2:7" ht="15.75" customHeight="1">
      <c r="B477" s="39"/>
      <c r="C477" s="39"/>
      <c r="D477" s="5"/>
      <c r="F477" s="5"/>
      <c r="G477" s="5"/>
    </row>
    <row r="478" spans="2:7" ht="15.75" customHeight="1">
      <c r="B478" s="39"/>
      <c r="C478" s="39"/>
      <c r="D478" s="5"/>
      <c r="F478" s="5"/>
      <c r="G478" s="5"/>
    </row>
    <row r="479" spans="2:7" ht="15.75" customHeight="1">
      <c r="B479" s="39"/>
      <c r="C479" s="39"/>
      <c r="D479" s="5"/>
      <c r="F479" s="5"/>
      <c r="G479" s="5"/>
    </row>
    <row r="480" spans="2:7" ht="15.75" customHeight="1">
      <c r="B480" s="39"/>
      <c r="C480" s="39"/>
      <c r="D480" s="5"/>
      <c r="F480" s="5"/>
      <c r="G480" s="5"/>
    </row>
    <row r="481" spans="2:7" ht="15.75" customHeight="1">
      <c r="B481" s="39"/>
      <c r="C481" s="39"/>
      <c r="D481" s="5"/>
      <c r="F481" s="5"/>
      <c r="G481" s="5"/>
    </row>
    <row r="482" spans="2:7" ht="15.75" customHeight="1">
      <c r="B482" s="39"/>
      <c r="C482" s="39"/>
      <c r="D482" s="5"/>
      <c r="F482" s="5"/>
      <c r="G482" s="5"/>
    </row>
    <row r="483" spans="2:7" ht="15.75" customHeight="1">
      <c r="B483" s="39"/>
      <c r="C483" s="39"/>
      <c r="D483" s="5"/>
      <c r="F483" s="5"/>
      <c r="G483" s="5"/>
    </row>
    <row r="484" spans="2:7" ht="15.75" customHeight="1">
      <c r="B484" s="39"/>
      <c r="C484" s="39"/>
      <c r="D484" s="5"/>
      <c r="F484" s="5"/>
      <c r="G484" s="5"/>
    </row>
    <row r="485" spans="2:7" ht="15.75" customHeight="1">
      <c r="B485" s="39"/>
      <c r="C485" s="39"/>
      <c r="D485" s="5"/>
      <c r="F485" s="5"/>
      <c r="G485" s="5"/>
    </row>
    <row r="486" spans="2:7" ht="15.75" customHeight="1">
      <c r="B486" s="39"/>
      <c r="C486" s="39"/>
      <c r="D486" s="5"/>
      <c r="F486" s="5"/>
      <c r="G486" s="5"/>
    </row>
    <row r="487" spans="2:7" ht="15.75" customHeight="1">
      <c r="B487" s="39"/>
      <c r="C487" s="39"/>
      <c r="D487" s="5"/>
      <c r="F487" s="5"/>
      <c r="G487" s="5"/>
    </row>
    <row r="488" spans="2:7" ht="15.75" customHeight="1">
      <c r="B488" s="39"/>
      <c r="C488" s="39"/>
      <c r="D488" s="5"/>
      <c r="F488" s="5"/>
      <c r="G488" s="5"/>
    </row>
    <row r="489" spans="2:7" ht="15.75" customHeight="1">
      <c r="B489" s="39"/>
      <c r="C489" s="39"/>
      <c r="D489" s="5"/>
      <c r="F489" s="5"/>
      <c r="G489" s="5"/>
    </row>
    <row r="490" spans="2:7" ht="15.75" customHeight="1">
      <c r="B490" s="39"/>
      <c r="C490" s="39"/>
      <c r="D490" s="5"/>
      <c r="F490" s="5"/>
      <c r="G490" s="5"/>
    </row>
    <row r="491" spans="2:7" ht="15.75" customHeight="1">
      <c r="B491" s="39"/>
      <c r="C491" s="39"/>
      <c r="D491" s="5"/>
      <c r="F491" s="5"/>
      <c r="G491" s="5"/>
    </row>
    <row r="492" spans="2:7" ht="15.75" customHeight="1">
      <c r="B492" s="39"/>
      <c r="C492" s="39"/>
      <c r="D492" s="5"/>
      <c r="F492" s="5"/>
      <c r="G492" s="5"/>
    </row>
    <row r="493" spans="2:7" ht="15.75" customHeight="1">
      <c r="B493" s="39"/>
      <c r="C493" s="39"/>
      <c r="D493" s="5"/>
      <c r="F493" s="5"/>
      <c r="G493" s="5"/>
    </row>
    <row r="494" spans="2:7" ht="15.75" customHeight="1">
      <c r="B494" s="39"/>
      <c r="C494" s="39"/>
      <c r="D494" s="5"/>
      <c r="F494" s="5"/>
      <c r="G494" s="5"/>
    </row>
    <row r="495" spans="2:7" ht="15.75" customHeight="1">
      <c r="B495" s="39"/>
      <c r="C495" s="39"/>
      <c r="D495" s="5"/>
      <c r="F495" s="5"/>
      <c r="G495" s="5"/>
    </row>
    <row r="496" spans="2:7" ht="15.75" customHeight="1">
      <c r="B496" s="39"/>
      <c r="C496" s="39"/>
      <c r="D496" s="5"/>
      <c r="F496" s="5"/>
      <c r="G496" s="5"/>
    </row>
    <row r="497" spans="2:7" ht="15.75" customHeight="1">
      <c r="B497" s="39"/>
      <c r="C497" s="39"/>
      <c r="D497" s="5"/>
      <c r="F497" s="5"/>
      <c r="G497" s="5"/>
    </row>
    <row r="498" spans="2:7" ht="15.75" customHeight="1">
      <c r="B498" s="39"/>
      <c r="C498" s="39"/>
      <c r="D498" s="5"/>
      <c r="F498" s="5"/>
      <c r="G498" s="5"/>
    </row>
    <row r="499" spans="2:7" ht="15.75" customHeight="1">
      <c r="B499" s="39"/>
      <c r="C499" s="39"/>
      <c r="D499" s="5"/>
      <c r="F499" s="5"/>
      <c r="G499" s="5"/>
    </row>
    <row r="500" spans="2:7" ht="15.75" customHeight="1">
      <c r="B500" s="39"/>
      <c r="C500" s="39"/>
      <c r="D500" s="5"/>
      <c r="F500" s="5"/>
      <c r="G500" s="5"/>
    </row>
    <row r="501" spans="2:7" ht="15.75" customHeight="1">
      <c r="B501" s="39"/>
      <c r="C501" s="39"/>
      <c r="D501" s="5"/>
      <c r="F501" s="5"/>
      <c r="G501" s="5"/>
    </row>
    <row r="502" spans="2:7" ht="15.75" customHeight="1">
      <c r="B502" s="39"/>
      <c r="C502" s="39"/>
      <c r="D502" s="5"/>
      <c r="F502" s="5"/>
      <c r="G502" s="5"/>
    </row>
    <row r="503" spans="2:7" ht="15.75" customHeight="1">
      <c r="B503" s="39"/>
      <c r="C503" s="39"/>
      <c r="D503" s="5"/>
      <c r="F503" s="5"/>
      <c r="G503" s="5"/>
    </row>
    <row r="504" spans="2:7" ht="15.75" customHeight="1">
      <c r="B504" s="39"/>
      <c r="C504" s="39"/>
      <c r="D504" s="5"/>
      <c r="F504" s="5"/>
      <c r="G504" s="5"/>
    </row>
    <row r="505" spans="2:7" ht="15.75" customHeight="1">
      <c r="B505" s="39"/>
      <c r="C505" s="39"/>
      <c r="D505" s="5"/>
      <c r="F505" s="5"/>
      <c r="G505" s="5"/>
    </row>
    <row r="506" spans="2:7" ht="15.75" customHeight="1">
      <c r="B506" s="39"/>
      <c r="C506" s="39"/>
      <c r="D506" s="5"/>
      <c r="F506" s="5"/>
      <c r="G506" s="5"/>
    </row>
    <row r="507" spans="2:7" ht="15.75" customHeight="1">
      <c r="B507" s="39"/>
      <c r="C507" s="39"/>
      <c r="D507" s="5"/>
      <c r="F507" s="5"/>
      <c r="G507" s="5"/>
    </row>
    <row r="508" spans="2:7" ht="15.75" customHeight="1">
      <c r="B508" s="39"/>
      <c r="C508" s="39"/>
      <c r="D508" s="5"/>
      <c r="F508" s="5"/>
      <c r="G508" s="5"/>
    </row>
    <row r="509" spans="2:7" ht="15.75" customHeight="1">
      <c r="B509" s="39"/>
      <c r="C509" s="39"/>
      <c r="D509" s="5"/>
      <c r="F509" s="5"/>
      <c r="G509" s="5"/>
    </row>
    <row r="510" spans="2:7" ht="15.75" customHeight="1">
      <c r="B510" s="39"/>
      <c r="C510" s="39"/>
      <c r="D510" s="5"/>
      <c r="F510" s="5"/>
      <c r="G510" s="5"/>
    </row>
    <row r="511" spans="2:7" ht="15.75" customHeight="1">
      <c r="B511" s="39"/>
      <c r="C511" s="39"/>
      <c r="D511" s="5"/>
      <c r="F511" s="5"/>
      <c r="G511" s="5"/>
    </row>
    <row r="512" spans="2:7" ht="15.75" customHeight="1">
      <c r="B512" s="39"/>
      <c r="C512" s="39"/>
      <c r="D512" s="5"/>
      <c r="F512" s="5"/>
      <c r="G512" s="5"/>
    </row>
    <row r="513" spans="2:7" ht="15.75" customHeight="1">
      <c r="B513" s="39"/>
      <c r="C513" s="39"/>
      <c r="D513" s="5"/>
      <c r="F513" s="5"/>
      <c r="G513" s="5"/>
    </row>
    <row r="514" spans="2:7" ht="15.75" customHeight="1">
      <c r="B514" s="39"/>
      <c r="C514" s="39"/>
      <c r="D514" s="5"/>
      <c r="F514" s="5"/>
      <c r="G514" s="5"/>
    </row>
    <row r="515" spans="2:7" ht="15.75" customHeight="1">
      <c r="B515" s="39"/>
      <c r="C515" s="39"/>
      <c r="D515" s="5"/>
      <c r="F515" s="5"/>
      <c r="G515" s="5"/>
    </row>
    <row r="516" spans="2:7" ht="15.75" customHeight="1">
      <c r="B516" s="39"/>
      <c r="C516" s="39"/>
      <c r="D516" s="5"/>
      <c r="F516" s="5"/>
      <c r="G516" s="5"/>
    </row>
    <row r="517" spans="2:7" ht="15.75" customHeight="1">
      <c r="B517" s="39"/>
      <c r="C517" s="39"/>
      <c r="D517" s="5"/>
      <c r="F517" s="5"/>
      <c r="G517" s="5"/>
    </row>
    <row r="518" spans="2:7" ht="15.75" customHeight="1">
      <c r="B518" s="39"/>
      <c r="C518" s="39"/>
      <c r="D518" s="5"/>
      <c r="F518" s="5"/>
      <c r="G518" s="5"/>
    </row>
    <row r="519" spans="2:7" ht="15.75" customHeight="1">
      <c r="B519" s="39"/>
      <c r="C519" s="39"/>
      <c r="D519" s="5"/>
      <c r="F519" s="5"/>
      <c r="G519" s="5"/>
    </row>
    <row r="520" spans="2:7" ht="15.75" customHeight="1">
      <c r="B520" s="39"/>
      <c r="C520" s="39"/>
      <c r="D520" s="5"/>
      <c r="F520" s="5"/>
      <c r="G520" s="5"/>
    </row>
    <row r="521" spans="2:7" ht="15.75" customHeight="1">
      <c r="B521" s="39"/>
      <c r="C521" s="39"/>
      <c r="D521" s="5"/>
      <c r="F521" s="5"/>
      <c r="G521" s="5"/>
    </row>
    <row r="522" spans="2:7" ht="15.75" customHeight="1">
      <c r="B522" s="39"/>
      <c r="C522" s="39"/>
      <c r="D522" s="5"/>
      <c r="F522" s="5"/>
      <c r="G522" s="5"/>
    </row>
    <row r="523" spans="2:7" ht="15.75" customHeight="1">
      <c r="B523" s="39"/>
      <c r="C523" s="39"/>
      <c r="D523" s="5"/>
      <c r="F523" s="5"/>
      <c r="G523" s="5"/>
    </row>
    <row r="524" spans="2:7" ht="15.75" customHeight="1">
      <c r="B524" s="39"/>
      <c r="C524" s="39"/>
      <c r="D524" s="5"/>
      <c r="F524" s="5"/>
      <c r="G524" s="5"/>
    </row>
    <row r="525" spans="2:7" ht="15.75" customHeight="1">
      <c r="B525" s="39"/>
      <c r="C525" s="39"/>
      <c r="D525" s="5"/>
      <c r="F525" s="5"/>
      <c r="G525" s="5"/>
    </row>
    <row r="526" spans="2:7" ht="15.75" customHeight="1">
      <c r="B526" s="39"/>
      <c r="C526" s="39"/>
      <c r="D526" s="5"/>
      <c r="F526" s="5"/>
      <c r="G526" s="5"/>
    </row>
    <row r="527" spans="2:7" ht="15.75" customHeight="1">
      <c r="B527" s="39"/>
      <c r="C527" s="39"/>
      <c r="D527" s="5"/>
      <c r="F527" s="5"/>
      <c r="G527" s="5"/>
    </row>
    <row r="528" spans="2:7" ht="15.75" customHeight="1">
      <c r="B528" s="39"/>
      <c r="C528" s="39"/>
      <c r="D528" s="5"/>
      <c r="F528" s="5"/>
      <c r="G528" s="5"/>
    </row>
    <row r="529" spans="2:7" ht="15.75" customHeight="1">
      <c r="B529" s="39"/>
      <c r="C529" s="39"/>
      <c r="D529" s="5"/>
      <c r="F529" s="5"/>
      <c r="G529" s="5"/>
    </row>
    <row r="530" spans="2:7" ht="15.75" customHeight="1">
      <c r="B530" s="39"/>
      <c r="C530" s="39"/>
      <c r="D530" s="5"/>
      <c r="F530" s="5"/>
      <c r="G530" s="5"/>
    </row>
    <row r="531" spans="2:7" ht="15.75" customHeight="1">
      <c r="B531" s="39"/>
      <c r="C531" s="39"/>
      <c r="D531" s="5"/>
      <c r="F531" s="5"/>
      <c r="G531" s="5"/>
    </row>
    <row r="532" spans="2:7" ht="15.75" customHeight="1">
      <c r="B532" s="39"/>
      <c r="C532" s="39"/>
      <c r="D532" s="5"/>
      <c r="F532" s="5"/>
      <c r="G532" s="5"/>
    </row>
    <row r="533" spans="2:7" ht="15.75" customHeight="1">
      <c r="B533" s="39"/>
      <c r="C533" s="39"/>
      <c r="D533" s="5"/>
      <c r="F533" s="5"/>
      <c r="G533" s="5"/>
    </row>
    <row r="534" spans="2:7" ht="15.75" customHeight="1">
      <c r="B534" s="39"/>
      <c r="C534" s="39"/>
      <c r="D534" s="5"/>
      <c r="F534" s="5"/>
      <c r="G534" s="5"/>
    </row>
    <row r="535" spans="2:7" ht="15.75" customHeight="1">
      <c r="B535" s="39"/>
      <c r="C535" s="39"/>
      <c r="D535" s="5"/>
      <c r="F535" s="5"/>
      <c r="G535" s="5"/>
    </row>
    <row r="536" spans="2:7" ht="15.75" customHeight="1">
      <c r="B536" s="39"/>
      <c r="C536" s="39"/>
      <c r="D536" s="5"/>
      <c r="F536" s="5"/>
      <c r="G536" s="5"/>
    </row>
    <row r="537" spans="2:7" ht="15.75" customHeight="1">
      <c r="B537" s="39"/>
      <c r="C537" s="39"/>
      <c r="D537" s="5"/>
      <c r="F537" s="5"/>
      <c r="G537" s="5"/>
    </row>
    <row r="538" spans="2:7" ht="15.75" customHeight="1">
      <c r="B538" s="39"/>
      <c r="C538" s="39"/>
      <c r="D538" s="5"/>
      <c r="F538" s="5"/>
      <c r="G538" s="5"/>
    </row>
    <row r="539" spans="2:7" ht="15.75" customHeight="1">
      <c r="B539" s="39"/>
      <c r="C539" s="39"/>
      <c r="D539" s="5"/>
      <c r="F539" s="5"/>
      <c r="G539" s="5"/>
    </row>
    <row r="540" spans="2:7" ht="15.75" customHeight="1">
      <c r="B540" s="39"/>
      <c r="C540" s="39"/>
      <c r="D540" s="5"/>
      <c r="F540" s="5"/>
      <c r="G540" s="5"/>
    </row>
    <row r="541" spans="2:7" ht="15.75" customHeight="1">
      <c r="B541" s="39"/>
      <c r="C541" s="39"/>
      <c r="D541" s="5"/>
      <c r="F541" s="5"/>
      <c r="G541" s="5"/>
    </row>
    <row r="542" spans="2:7" ht="15.75" customHeight="1">
      <c r="B542" s="39"/>
      <c r="C542" s="39"/>
      <c r="D542" s="5"/>
      <c r="F542" s="5"/>
      <c r="G542" s="5"/>
    </row>
    <row r="543" spans="2:7" ht="15.75" customHeight="1">
      <c r="B543" s="39"/>
      <c r="C543" s="39"/>
      <c r="D543" s="5"/>
      <c r="F543" s="5"/>
      <c r="G543" s="5"/>
    </row>
    <row r="544" spans="2:7" ht="15.75" customHeight="1">
      <c r="B544" s="39"/>
      <c r="C544" s="39"/>
      <c r="D544" s="5"/>
      <c r="F544" s="5"/>
      <c r="G544" s="5"/>
    </row>
    <row r="545" spans="2:7" ht="15.75" customHeight="1">
      <c r="B545" s="39"/>
      <c r="C545" s="39"/>
      <c r="D545" s="5"/>
      <c r="F545" s="5"/>
      <c r="G545" s="5"/>
    </row>
    <row r="546" spans="2:7" ht="15.75" customHeight="1">
      <c r="B546" s="39"/>
      <c r="C546" s="39"/>
      <c r="D546" s="5"/>
      <c r="F546" s="5"/>
      <c r="G546" s="5"/>
    </row>
    <row r="547" spans="2:7" ht="15.75" customHeight="1">
      <c r="B547" s="39"/>
      <c r="C547" s="39"/>
      <c r="D547" s="5"/>
      <c r="F547" s="5"/>
      <c r="G547" s="5"/>
    </row>
    <row r="548" spans="2:7" ht="15.75" customHeight="1">
      <c r="B548" s="39"/>
      <c r="C548" s="39"/>
      <c r="D548" s="5"/>
      <c r="F548" s="5"/>
      <c r="G548" s="5"/>
    </row>
    <row r="549" spans="2:7" ht="15.75" customHeight="1">
      <c r="B549" s="39"/>
      <c r="C549" s="39"/>
      <c r="D549" s="5"/>
      <c r="F549" s="5"/>
      <c r="G549" s="5"/>
    </row>
    <row r="550" spans="2:7" ht="15.75" customHeight="1">
      <c r="B550" s="39"/>
      <c r="C550" s="39"/>
      <c r="D550" s="5"/>
      <c r="F550" s="5"/>
      <c r="G550" s="5"/>
    </row>
    <row r="551" spans="2:7" ht="15.75" customHeight="1">
      <c r="B551" s="39"/>
      <c r="C551" s="39"/>
      <c r="D551" s="5"/>
      <c r="F551" s="5"/>
      <c r="G551" s="5"/>
    </row>
    <row r="552" spans="2:7" ht="15.75" customHeight="1">
      <c r="B552" s="39"/>
      <c r="C552" s="39"/>
      <c r="D552" s="5"/>
      <c r="F552" s="5"/>
      <c r="G552" s="5"/>
    </row>
    <row r="553" spans="2:7" ht="15.75" customHeight="1">
      <c r="B553" s="39"/>
      <c r="C553" s="39"/>
      <c r="D553" s="5"/>
      <c r="F553" s="5"/>
      <c r="G553" s="5"/>
    </row>
    <row r="554" spans="2:7" ht="15.75" customHeight="1">
      <c r="B554" s="39"/>
      <c r="C554" s="39"/>
      <c r="D554" s="5"/>
      <c r="F554" s="5"/>
      <c r="G554" s="5"/>
    </row>
    <row r="555" spans="2:7" ht="15.75" customHeight="1">
      <c r="B555" s="39"/>
      <c r="C555" s="39"/>
      <c r="D555" s="5"/>
      <c r="F555" s="5"/>
      <c r="G555" s="5"/>
    </row>
    <row r="556" spans="2:7" ht="15.75" customHeight="1">
      <c r="B556" s="39"/>
      <c r="C556" s="39"/>
      <c r="D556" s="5"/>
      <c r="F556" s="5"/>
      <c r="G556" s="5"/>
    </row>
    <row r="557" spans="2:7" ht="15.75" customHeight="1">
      <c r="B557" s="39"/>
      <c r="C557" s="39"/>
      <c r="D557" s="5"/>
      <c r="F557" s="5"/>
      <c r="G557" s="5"/>
    </row>
    <row r="558" spans="2:7" ht="15.75" customHeight="1">
      <c r="B558" s="39"/>
      <c r="C558" s="39"/>
      <c r="D558" s="5"/>
      <c r="F558" s="5"/>
      <c r="G558" s="5"/>
    </row>
    <row r="559" spans="2:7" ht="15.75" customHeight="1">
      <c r="B559" s="39"/>
      <c r="C559" s="39"/>
      <c r="D559" s="5"/>
      <c r="F559" s="5"/>
      <c r="G559" s="5"/>
    </row>
    <row r="560" spans="2:7" ht="15.75" customHeight="1">
      <c r="B560" s="39"/>
      <c r="C560" s="39"/>
      <c r="D560" s="5"/>
      <c r="F560" s="5"/>
      <c r="G560" s="5"/>
    </row>
    <row r="561" spans="2:7" ht="15.75" customHeight="1">
      <c r="B561" s="39"/>
      <c r="C561" s="39"/>
      <c r="D561" s="5"/>
      <c r="F561" s="5"/>
      <c r="G561" s="5"/>
    </row>
    <row r="562" spans="2:7" ht="15.75" customHeight="1">
      <c r="B562" s="39"/>
      <c r="C562" s="39"/>
      <c r="D562" s="5"/>
      <c r="F562" s="5"/>
      <c r="G562" s="5"/>
    </row>
    <row r="563" spans="2:7" ht="15.75" customHeight="1">
      <c r="B563" s="39"/>
      <c r="C563" s="39"/>
      <c r="D563" s="5"/>
      <c r="F563" s="5"/>
      <c r="G563" s="5"/>
    </row>
    <row r="564" spans="2:7" ht="15.75" customHeight="1">
      <c r="B564" s="39"/>
      <c r="C564" s="39"/>
      <c r="D564" s="5"/>
      <c r="F564" s="5"/>
      <c r="G564" s="5"/>
    </row>
    <row r="565" spans="2:7" ht="15.75" customHeight="1">
      <c r="B565" s="39"/>
      <c r="C565" s="39"/>
      <c r="D565" s="5"/>
      <c r="F565" s="5"/>
      <c r="G565" s="5"/>
    </row>
    <row r="566" spans="2:7" ht="15.75" customHeight="1">
      <c r="B566" s="39"/>
      <c r="C566" s="39"/>
      <c r="D566" s="5"/>
      <c r="F566" s="5"/>
      <c r="G566" s="5"/>
    </row>
    <row r="567" spans="2:7" ht="15.75" customHeight="1">
      <c r="B567" s="39"/>
      <c r="C567" s="39"/>
      <c r="D567" s="5"/>
      <c r="F567" s="5"/>
      <c r="G567" s="5"/>
    </row>
    <row r="568" spans="2:7" ht="15.75" customHeight="1">
      <c r="B568" s="39"/>
      <c r="C568" s="39"/>
      <c r="D568" s="5"/>
      <c r="F568" s="5"/>
      <c r="G568" s="5"/>
    </row>
    <row r="569" spans="2:7" ht="15.75" customHeight="1">
      <c r="B569" s="39"/>
      <c r="C569" s="39"/>
      <c r="D569" s="5"/>
      <c r="F569" s="5"/>
      <c r="G569" s="5"/>
    </row>
    <row r="570" spans="2:7" ht="15.75" customHeight="1">
      <c r="B570" s="39"/>
      <c r="C570" s="39"/>
      <c r="D570" s="5"/>
      <c r="F570" s="5"/>
      <c r="G570" s="5"/>
    </row>
    <row r="571" spans="2:7" ht="15.75" customHeight="1">
      <c r="B571" s="39"/>
      <c r="C571" s="39"/>
      <c r="D571" s="5"/>
      <c r="F571" s="5"/>
      <c r="G571" s="5"/>
    </row>
    <row r="572" spans="2:7" ht="15.75" customHeight="1">
      <c r="B572" s="39"/>
      <c r="C572" s="39"/>
      <c r="D572" s="5"/>
      <c r="F572" s="5"/>
      <c r="G572" s="5"/>
    </row>
    <row r="573" spans="2:7" ht="15.75" customHeight="1">
      <c r="B573" s="39"/>
      <c r="C573" s="39"/>
      <c r="D573" s="5"/>
      <c r="F573" s="5"/>
      <c r="G573" s="5"/>
    </row>
    <row r="574" spans="2:7" ht="15.75" customHeight="1">
      <c r="B574" s="39"/>
      <c r="C574" s="39"/>
      <c r="D574" s="5"/>
      <c r="F574" s="5"/>
      <c r="G574" s="5"/>
    </row>
    <row r="575" spans="2:7" ht="15.75" customHeight="1">
      <c r="B575" s="39"/>
      <c r="C575" s="39"/>
      <c r="D575" s="5"/>
      <c r="F575" s="5"/>
      <c r="G575" s="5"/>
    </row>
    <row r="576" spans="2:7" ht="15.75" customHeight="1">
      <c r="B576" s="39"/>
      <c r="C576" s="39"/>
      <c r="D576" s="5"/>
      <c r="F576" s="5"/>
      <c r="G576" s="5"/>
    </row>
    <row r="577" spans="2:7" ht="15.75" customHeight="1">
      <c r="B577" s="39"/>
      <c r="C577" s="39"/>
      <c r="D577" s="5"/>
      <c r="F577" s="5"/>
      <c r="G577" s="5"/>
    </row>
    <row r="578" spans="2:7" ht="15.75" customHeight="1">
      <c r="B578" s="39"/>
      <c r="C578" s="39"/>
      <c r="D578" s="5"/>
      <c r="F578" s="5"/>
      <c r="G578" s="5"/>
    </row>
    <row r="579" spans="2:7" ht="15.75" customHeight="1">
      <c r="B579" s="39"/>
      <c r="C579" s="39"/>
      <c r="D579" s="5"/>
      <c r="F579" s="5"/>
      <c r="G579" s="5"/>
    </row>
    <row r="580" spans="2:7" ht="15.75" customHeight="1">
      <c r="B580" s="39"/>
      <c r="C580" s="39"/>
      <c r="D580" s="5"/>
      <c r="F580" s="5"/>
      <c r="G580" s="5"/>
    </row>
    <row r="581" spans="2:7" ht="15.75" customHeight="1">
      <c r="B581" s="39"/>
      <c r="C581" s="39"/>
      <c r="D581" s="5"/>
      <c r="F581" s="5"/>
      <c r="G581" s="5"/>
    </row>
    <row r="582" spans="2:7" ht="15.75" customHeight="1">
      <c r="B582" s="39"/>
      <c r="C582" s="39"/>
      <c r="D582" s="5"/>
      <c r="F582" s="5"/>
      <c r="G582" s="5"/>
    </row>
    <row r="583" spans="2:7" ht="15.75" customHeight="1">
      <c r="B583" s="39"/>
      <c r="C583" s="39"/>
      <c r="D583" s="5"/>
      <c r="F583" s="5"/>
      <c r="G583" s="5"/>
    </row>
    <row r="584" spans="2:7" ht="15.75" customHeight="1">
      <c r="B584" s="39"/>
      <c r="C584" s="39"/>
      <c r="D584" s="5"/>
      <c r="F584" s="5"/>
      <c r="G584" s="5"/>
    </row>
    <row r="585" spans="2:7" ht="15.75" customHeight="1">
      <c r="B585" s="39"/>
      <c r="C585" s="39"/>
      <c r="D585" s="5"/>
      <c r="F585" s="5"/>
      <c r="G585" s="5"/>
    </row>
    <row r="586" spans="2:7" ht="15.75" customHeight="1">
      <c r="B586" s="39"/>
      <c r="C586" s="39"/>
      <c r="D586" s="5"/>
      <c r="F586" s="5"/>
      <c r="G586" s="5"/>
    </row>
    <row r="587" spans="2:7" ht="15.75" customHeight="1">
      <c r="B587" s="39"/>
      <c r="C587" s="39"/>
      <c r="D587" s="5"/>
      <c r="F587" s="5"/>
      <c r="G587" s="5"/>
    </row>
    <row r="588" spans="2:7" ht="15.75" customHeight="1">
      <c r="B588" s="39"/>
      <c r="C588" s="39"/>
      <c r="D588" s="5"/>
      <c r="F588" s="5"/>
      <c r="G588" s="5"/>
    </row>
    <row r="589" spans="2:7" ht="15.75" customHeight="1">
      <c r="B589" s="39"/>
      <c r="C589" s="39"/>
      <c r="D589" s="5"/>
      <c r="F589" s="5"/>
      <c r="G589" s="5"/>
    </row>
    <row r="590" spans="2:7" ht="15.75" customHeight="1">
      <c r="B590" s="39"/>
      <c r="C590" s="39"/>
      <c r="D590" s="5"/>
      <c r="F590" s="5"/>
      <c r="G590" s="5"/>
    </row>
    <row r="591" spans="2:7" ht="15.75" customHeight="1">
      <c r="B591" s="39"/>
      <c r="C591" s="39"/>
      <c r="D591" s="5"/>
      <c r="F591" s="5"/>
      <c r="G591" s="5"/>
    </row>
    <row r="592" spans="2:7" ht="15.75" customHeight="1">
      <c r="B592" s="39"/>
      <c r="C592" s="39"/>
      <c r="D592" s="5"/>
      <c r="F592" s="5"/>
      <c r="G592" s="5"/>
    </row>
    <row r="593" spans="2:7" ht="15.75" customHeight="1">
      <c r="B593" s="39"/>
      <c r="C593" s="39"/>
      <c r="D593" s="5"/>
      <c r="F593" s="5"/>
      <c r="G593" s="5"/>
    </row>
    <row r="594" spans="2:7" ht="15.75" customHeight="1">
      <c r="B594" s="39"/>
      <c r="C594" s="39"/>
      <c r="D594" s="5"/>
      <c r="F594" s="5"/>
      <c r="G594" s="5"/>
    </row>
    <row r="595" spans="2:7" ht="15.75" customHeight="1">
      <c r="B595" s="39"/>
      <c r="C595" s="39"/>
      <c r="D595" s="5"/>
      <c r="F595" s="5"/>
      <c r="G595" s="5"/>
    </row>
    <row r="596" spans="2:7" ht="15.75" customHeight="1">
      <c r="B596" s="39"/>
      <c r="C596" s="39"/>
      <c r="D596" s="5"/>
      <c r="F596" s="5"/>
      <c r="G596" s="5"/>
    </row>
    <row r="597" spans="2:7" ht="15.75" customHeight="1">
      <c r="B597" s="39"/>
      <c r="C597" s="39"/>
      <c r="D597" s="5"/>
      <c r="F597" s="5"/>
      <c r="G597" s="5"/>
    </row>
    <row r="598" spans="2:7" ht="15.75" customHeight="1">
      <c r="B598" s="39"/>
      <c r="C598" s="39"/>
      <c r="D598" s="5"/>
      <c r="F598" s="5"/>
      <c r="G598" s="5"/>
    </row>
    <row r="599" spans="2:7" ht="15.75" customHeight="1">
      <c r="B599" s="39"/>
      <c r="C599" s="39"/>
      <c r="D599" s="5"/>
      <c r="F599" s="5"/>
      <c r="G599" s="5"/>
    </row>
    <row r="600" spans="2:7" ht="15.75" customHeight="1">
      <c r="B600" s="39"/>
      <c r="C600" s="39"/>
      <c r="D600" s="5"/>
      <c r="F600" s="5"/>
      <c r="G600" s="5"/>
    </row>
    <row r="601" spans="2:7" ht="15.75" customHeight="1">
      <c r="B601" s="39"/>
      <c r="C601" s="39"/>
      <c r="D601" s="5"/>
      <c r="F601" s="5"/>
      <c r="G601" s="5"/>
    </row>
    <row r="602" spans="2:7" ht="15.75" customHeight="1">
      <c r="B602" s="39"/>
      <c r="C602" s="39"/>
      <c r="D602" s="5"/>
      <c r="F602" s="5"/>
      <c r="G602" s="5"/>
    </row>
    <row r="603" spans="2:7" ht="15.75" customHeight="1">
      <c r="B603" s="39"/>
      <c r="C603" s="39"/>
      <c r="D603" s="5"/>
      <c r="F603" s="5"/>
      <c r="G603" s="5"/>
    </row>
    <row r="604" spans="2:7" ht="15.75" customHeight="1">
      <c r="B604" s="39"/>
      <c r="C604" s="39"/>
      <c r="D604" s="5"/>
      <c r="F604" s="5"/>
      <c r="G604" s="5"/>
    </row>
    <row r="605" spans="2:7" ht="15.75" customHeight="1">
      <c r="B605" s="39"/>
      <c r="C605" s="39"/>
      <c r="D605" s="5"/>
      <c r="F605" s="5"/>
      <c r="G605" s="5"/>
    </row>
    <row r="606" spans="2:7" ht="15.75" customHeight="1">
      <c r="B606" s="39"/>
      <c r="C606" s="39"/>
      <c r="D606" s="5"/>
      <c r="F606" s="5"/>
      <c r="G606" s="5"/>
    </row>
    <row r="607" spans="2:7" ht="15.75" customHeight="1">
      <c r="B607" s="39"/>
      <c r="C607" s="39"/>
      <c r="D607" s="5"/>
      <c r="F607" s="5"/>
      <c r="G607" s="5"/>
    </row>
    <row r="608" spans="2:7" ht="15.75" customHeight="1">
      <c r="B608" s="39"/>
      <c r="C608" s="39"/>
      <c r="D608" s="5"/>
      <c r="F608" s="5"/>
      <c r="G608" s="5"/>
    </row>
    <row r="609" spans="2:7" ht="15.75" customHeight="1">
      <c r="B609" s="39"/>
      <c r="C609" s="39"/>
      <c r="D609" s="5"/>
      <c r="F609" s="5"/>
      <c r="G609" s="5"/>
    </row>
    <row r="610" spans="2:7" ht="15.75" customHeight="1">
      <c r="B610" s="39"/>
      <c r="C610" s="39"/>
      <c r="D610" s="5"/>
      <c r="F610" s="5"/>
      <c r="G610" s="5"/>
    </row>
    <row r="611" spans="2:7" ht="15.75" customHeight="1">
      <c r="B611" s="39"/>
      <c r="C611" s="39"/>
      <c r="D611" s="5"/>
      <c r="F611" s="5"/>
      <c r="G611" s="5"/>
    </row>
    <row r="612" spans="2:7" ht="15.75" customHeight="1">
      <c r="B612" s="39"/>
      <c r="C612" s="39"/>
      <c r="D612" s="5"/>
      <c r="F612" s="5"/>
      <c r="G612" s="5"/>
    </row>
    <row r="613" spans="2:7" ht="15.75" customHeight="1">
      <c r="B613" s="39"/>
      <c r="C613" s="39"/>
      <c r="D613" s="5"/>
      <c r="F613" s="5"/>
      <c r="G613" s="5"/>
    </row>
    <row r="614" spans="2:7" ht="15.75" customHeight="1">
      <c r="B614" s="39"/>
      <c r="C614" s="39"/>
      <c r="D614" s="5"/>
      <c r="F614" s="5"/>
      <c r="G614" s="5"/>
    </row>
    <row r="615" spans="2:7" ht="15.75" customHeight="1">
      <c r="B615" s="39"/>
      <c r="C615" s="39"/>
      <c r="D615" s="5"/>
      <c r="F615" s="5"/>
      <c r="G615" s="5"/>
    </row>
    <row r="616" spans="2:7" ht="15.75" customHeight="1">
      <c r="B616" s="39"/>
      <c r="C616" s="39"/>
      <c r="D616" s="5"/>
      <c r="F616" s="5"/>
      <c r="G616" s="5"/>
    </row>
    <row r="617" spans="2:7" ht="15.75" customHeight="1">
      <c r="B617" s="39"/>
      <c r="C617" s="39"/>
      <c r="D617" s="5"/>
      <c r="F617" s="5"/>
      <c r="G617" s="5"/>
    </row>
    <row r="618" spans="2:7" ht="15.75" customHeight="1">
      <c r="B618" s="39"/>
      <c r="C618" s="39"/>
      <c r="D618" s="5"/>
      <c r="F618" s="5"/>
      <c r="G618" s="5"/>
    </row>
    <row r="619" spans="2:7" ht="15.75" customHeight="1">
      <c r="B619" s="39"/>
      <c r="C619" s="39"/>
      <c r="D619" s="5"/>
      <c r="F619" s="5"/>
      <c r="G619" s="5"/>
    </row>
    <row r="620" spans="2:7" ht="15.75" customHeight="1">
      <c r="B620" s="39"/>
      <c r="C620" s="39"/>
      <c r="D620" s="5"/>
      <c r="F620" s="5"/>
      <c r="G620" s="5"/>
    </row>
    <row r="621" spans="2:7" ht="15.75" customHeight="1">
      <c r="B621" s="39"/>
      <c r="C621" s="39"/>
      <c r="D621" s="5"/>
      <c r="F621" s="5"/>
      <c r="G621" s="5"/>
    </row>
    <row r="622" spans="2:7" ht="15.75" customHeight="1">
      <c r="B622" s="39"/>
      <c r="C622" s="39"/>
      <c r="D622" s="5"/>
      <c r="F622" s="5"/>
      <c r="G622" s="5"/>
    </row>
    <row r="623" spans="2:7" ht="15.75" customHeight="1">
      <c r="B623" s="39"/>
      <c r="C623" s="39"/>
      <c r="D623" s="5"/>
      <c r="F623" s="5"/>
      <c r="G623" s="5"/>
    </row>
    <row r="624" spans="2:7" ht="15.75" customHeight="1">
      <c r="B624" s="39"/>
      <c r="C624" s="39"/>
      <c r="D624" s="5"/>
      <c r="F624" s="5"/>
      <c r="G624" s="5"/>
    </row>
    <row r="625" spans="2:7" ht="15.75" customHeight="1">
      <c r="B625" s="39"/>
      <c r="C625" s="39"/>
      <c r="D625" s="5"/>
      <c r="F625" s="5"/>
      <c r="G625" s="5"/>
    </row>
    <row r="626" spans="2:7" ht="15.75" customHeight="1">
      <c r="B626" s="39"/>
      <c r="C626" s="39"/>
      <c r="D626" s="5"/>
      <c r="F626" s="5"/>
      <c r="G626" s="5"/>
    </row>
    <row r="627" spans="2:7" ht="15.75" customHeight="1">
      <c r="B627" s="39"/>
      <c r="C627" s="39"/>
      <c r="D627" s="5"/>
      <c r="F627" s="5"/>
      <c r="G627" s="5"/>
    </row>
    <row r="628" spans="2:7" ht="15.75" customHeight="1">
      <c r="B628" s="39"/>
      <c r="C628" s="39"/>
      <c r="D628" s="5"/>
      <c r="F628" s="5"/>
      <c r="G628" s="5"/>
    </row>
    <row r="629" spans="2:7" ht="15.75" customHeight="1">
      <c r="B629" s="39"/>
      <c r="C629" s="39"/>
      <c r="D629" s="5"/>
      <c r="F629" s="5"/>
      <c r="G629" s="5"/>
    </row>
    <row r="630" spans="2:7" ht="15.75" customHeight="1">
      <c r="B630" s="39"/>
      <c r="C630" s="39"/>
      <c r="D630" s="5"/>
      <c r="F630" s="5"/>
      <c r="G630" s="5"/>
    </row>
    <row r="631" spans="2:7" ht="15.75" customHeight="1">
      <c r="B631" s="39"/>
      <c r="C631" s="39"/>
      <c r="D631" s="5"/>
      <c r="F631" s="5"/>
      <c r="G631" s="5"/>
    </row>
    <row r="632" spans="2:7" ht="15.75" customHeight="1">
      <c r="B632" s="39"/>
      <c r="C632" s="39"/>
      <c r="D632" s="5"/>
      <c r="F632" s="5"/>
      <c r="G632" s="5"/>
    </row>
    <row r="633" spans="2:7" ht="15.75" customHeight="1">
      <c r="B633" s="39"/>
      <c r="C633" s="39"/>
      <c r="D633" s="5"/>
      <c r="F633" s="5"/>
      <c r="G633" s="5"/>
    </row>
    <row r="634" spans="2:7" ht="15.75" customHeight="1">
      <c r="B634" s="39"/>
      <c r="C634" s="39"/>
      <c r="D634" s="5"/>
      <c r="F634" s="5"/>
      <c r="G634" s="5"/>
    </row>
    <row r="635" spans="2:7" ht="15.75" customHeight="1">
      <c r="B635" s="39"/>
      <c r="C635" s="39"/>
      <c r="D635" s="5"/>
      <c r="F635" s="5"/>
      <c r="G635" s="5"/>
    </row>
    <row r="636" spans="2:7" ht="15.75" customHeight="1">
      <c r="B636" s="39"/>
      <c r="C636" s="39"/>
      <c r="D636" s="5"/>
      <c r="F636" s="5"/>
      <c r="G636" s="5"/>
    </row>
    <row r="637" spans="2:7" ht="15.75" customHeight="1">
      <c r="B637" s="39"/>
      <c r="C637" s="39"/>
      <c r="D637" s="5"/>
      <c r="F637" s="5"/>
      <c r="G637" s="5"/>
    </row>
    <row r="638" spans="2:7" ht="15.75" customHeight="1">
      <c r="B638" s="39"/>
      <c r="C638" s="39"/>
      <c r="D638" s="5"/>
      <c r="F638" s="5"/>
      <c r="G638" s="5"/>
    </row>
    <row r="639" spans="2:7" ht="15.75" customHeight="1">
      <c r="B639" s="39"/>
      <c r="C639" s="39"/>
      <c r="D639" s="5"/>
      <c r="F639" s="5"/>
      <c r="G639" s="5"/>
    </row>
    <row r="640" spans="2:7" ht="15.75" customHeight="1">
      <c r="B640" s="39"/>
      <c r="C640" s="39"/>
      <c r="D640" s="5"/>
      <c r="F640" s="5"/>
      <c r="G640" s="5"/>
    </row>
    <row r="641" spans="2:7" ht="15.75" customHeight="1">
      <c r="B641" s="39"/>
      <c r="C641" s="39"/>
      <c r="D641" s="5"/>
      <c r="F641" s="5"/>
      <c r="G641" s="5"/>
    </row>
    <row r="642" spans="2:7" ht="15.75" customHeight="1">
      <c r="B642" s="39"/>
      <c r="C642" s="39"/>
      <c r="D642" s="5"/>
      <c r="F642" s="5"/>
      <c r="G642" s="5"/>
    </row>
    <row r="643" spans="2:7" ht="15.75" customHeight="1">
      <c r="B643" s="39"/>
      <c r="C643" s="39"/>
      <c r="D643" s="5"/>
      <c r="F643" s="5"/>
      <c r="G643" s="5"/>
    </row>
    <row r="644" spans="2:7" ht="15.75" customHeight="1">
      <c r="B644" s="39"/>
      <c r="C644" s="39"/>
      <c r="D644" s="5"/>
      <c r="F644" s="5"/>
      <c r="G644" s="5"/>
    </row>
    <row r="645" spans="2:7" ht="15.75" customHeight="1">
      <c r="B645" s="39"/>
      <c r="C645" s="39"/>
      <c r="D645" s="5"/>
      <c r="F645" s="5"/>
      <c r="G645" s="5"/>
    </row>
    <row r="646" spans="2:7" ht="15.75" customHeight="1">
      <c r="B646" s="39"/>
      <c r="C646" s="39"/>
      <c r="D646" s="5"/>
      <c r="F646" s="5"/>
      <c r="G646" s="5"/>
    </row>
    <row r="647" spans="2:7" ht="15.75" customHeight="1">
      <c r="B647" s="39"/>
      <c r="C647" s="39"/>
      <c r="D647" s="5"/>
      <c r="F647" s="5"/>
      <c r="G647" s="5"/>
    </row>
    <row r="648" spans="2:7" ht="15.75" customHeight="1">
      <c r="B648" s="39"/>
      <c r="C648" s="39"/>
      <c r="D648" s="5"/>
      <c r="F648" s="5"/>
      <c r="G648" s="5"/>
    </row>
    <row r="649" spans="2:7" ht="15.75" customHeight="1">
      <c r="B649" s="39"/>
      <c r="C649" s="39"/>
      <c r="D649" s="5"/>
      <c r="F649" s="5"/>
      <c r="G649" s="5"/>
    </row>
    <row r="650" spans="2:7" ht="15.75" customHeight="1">
      <c r="B650" s="39"/>
      <c r="C650" s="39"/>
      <c r="D650" s="5"/>
      <c r="F650" s="5"/>
      <c r="G650" s="5"/>
    </row>
    <row r="651" spans="2:7" ht="15.75" customHeight="1">
      <c r="B651" s="39"/>
      <c r="C651" s="39"/>
      <c r="D651" s="5"/>
      <c r="F651" s="5"/>
      <c r="G651" s="5"/>
    </row>
    <row r="652" spans="2:7" ht="15.75" customHeight="1">
      <c r="B652" s="39"/>
      <c r="C652" s="39"/>
      <c r="D652" s="5"/>
      <c r="F652" s="5"/>
      <c r="G652" s="5"/>
    </row>
    <row r="653" spans="2:7" ht="15.75" customHeight="1">
      <c r="B653" s="39"/>
      <c r="C653" s="39"/>
      <c r="D653" s="5"/>
      <c r="F653" s="5"/>
      <c r="G653" s="5"/>
    </row>
    <row r="654" spans="2:7" ht="15.75" customHeight="1">
      <c r="B654" s="39"/>
      <c r="C654" s="39"/>
      <c r="D654" s="5"/>
      <c r="F654" s="5"/>
      <c r="G654" s="5"/>
    </row>
    <row r="655" spans="2:7" ht="15.75" customHeight="1">
      <c r="B655" s="39"/>
      <c r="C655" s="39"/>
      <c r="D655" s="5"/>
      <c r="F655" s="5"/>
      <c r="G655" s="5"/>
    </row>
    <row r="656" spans="2:7" ht="15.75" customHeight="1">
      <c r="B656" s="39"/>
      <c r="C656" s="39"/>
      <c r="D656" s="5"/>
      <c r="F656" s="5"/>
      <c r="G656" s="5"/>
    </row>
    <row r="657" spans="2:7" ht="15.75" customHeight="1">
      <c r="B657" s="39"/>
      <c r="C657" s="39"/>
      <c r="D657" s="5"/>
      <c r="F657" s="5"/>
      <c r="G657" s="5"/>
    </row>
    <row r="658" spans="2:7" ht="15.75" customHeight="1">
      <c r="B658" s="39"/>
      <c r="C658" s="39"/>
      <c r="D658" s="5"/>
      <c r="F658" s="5"/>
      <c r="G658" s="5"/>
    </row>
    <row r="659" spans="2:7" ht="15.75" customHeight="1">
      <c r="B659" s="39"/>
      <c r="C659" s="39"/>
      <c r="D659" s="5"/>
      <c r="F659" s="5"/>
      <c r="G659" s="5"/>
    </row>
    <row r="660" spans="2:7" ht="15.75" customHeight="1">
      <c r="B660" s="39"/>
      <c r="C660" s="39"/>
      <c r="D660" s="5"/>
      <c r="F660" s="5"/>
      <c r="G660" s="5"/>
    </row>
    <row r="661" spans="2:7" ht="15.75" customHeight="1">
      <c r="B661" s="39"/>
      <c r="C661" s="39"/>
      <c r="D661" s="5"/>
      <c r="F661" s="5"/>
      <c r="G661" s="5"/>
    </row>
    <row r="662" spans="2:7" ht="15.75" customHeight="1">
      <c r="B662" s="39"/>
      <c r="C662" s="39"/>
      <c r="D662" s="5"/>
      <c r="F662" s="5"/>
      <c r="G662" s="5"/>
    </row>
    <row r="663" spans="2:7" ht="15.75" customHeight="1">
      <c r="B663" s="39"/>
      <c r="C663" s="39"/>
      <c r="D663" s="5"/>
      <c r="F663" s="5"/>
      <c r="G663" s="5"/>
    </row>
    <row r="664" spans="2:7" ht="15.75" customHeight="1">
      <c r="B664" s="39"/>
      <c r="C664" s="39"/>
      <c r="D664" s="5"/>
      <c r="F664" s="5"/>
      <c r="G664" s="5"/>
    </row>
    <row r="665" spans="2:7" ht="15.75" customHeight="1">
      <c r="B665" s="39"/>
      <c r="C665" s="39"/>
      <c r="D665" s="5"/>
      <c r="F665" s="5"/>
      <c r="G665" s="5"/>
    </row>
    <row r="666" spans="2:7" ht="15.75" customHeight="1">
      <c r="B666" s="39"/>
      <c r="C666" s="39"/>
      <c r="D666" s="5"/>
      <c r="F666" s="5"/>
      <c r="G666" s="5"/>
    </row>
    <row r="667" spans="2:7" ht="15.75" customHeight="1">
      <c r="B667" s="39"/>
      <c r="C667" s="39"/>
      <c r="D667" s="5"/>
      <c r="F667" s="5"/>
      <c r="G667" s="5"/>
    </row>
    <row r="668" spans="2:7" ht="15.75" customHeight="1">
      <c r="B668" s="39"/>
      <c r="C668" s="39"/>
      <c r="D668" s="5"/>
      <c r="F668" s="5"/>
      <c r="G668" s="5"/>
    </row>
    <row r="669" spans="2:7" ht="15.75" customHeight="1">
      <c r="B669" s="39"/>
      <c r="C669" s="39"/>
      <c r="D669" s="5"/>
      <c r="F669" s="5"/>
      <c r="G669" s="5"/>
    </row>
    <row r="670" spans="2:7" ht="15.75" customHeight="1">
      <c r="B670" s="39"/>
      <c r="C670" s="39"/>
      <c r="D670" s="5"/>
      <c r="F670" s="5"/>
      <c r="G670" s="5"/>
    </row>
    <row r="671" spans="2:7" ht="15.75" customHeight="1">
      <c r="B671" s="39"/>
      <c r="C671" s="39"/>
      <c r="D671" s="5"/>
      <c r="F671" s="5"/>
      <c r="G671" s="5"/>
    </row>
    <row r="672" spans="2:7" ht="15.75" customHeight="1">
      <c r="B672" s="39"/>
      <c r="C672" s="39"/>
      <c r="D672" s="5"/>
      <c r="F672" s="5"/>
      <c r="G672" s="5"/>
    </row>
    <row r="673" spans="2:7" ht="15.75" customHeight="1">
      <c r="B673" s="39"/>
      <c r="C673" s="39"/>
      <c r="D673" s="5"/>
      <c r="F673" s="5"/>
      <c r="G673" s="5"/>
    </row>
    <row r="674" spans="2:7" ht="15.75" customHeight="1">
      <c r="B674" s="39"/>
      <c r="C674" s="39"/>
      <c r="D674" s="5"/>
      <c r="F674" s="5"/>
      <c r="G674" s="5"/>
    </row>
    <row r="675" spans="2:7" ht="15.75" customHeight="1">
      <c r="B675" s="39"/>
      <c r="C675" s="39"/>
      <c r="D675" s="5"/>
      <c r="F675" s="5"/>
      <c r="G675" s="5"/>
    </row>
    <row r="676" spans="2:7" ht="15.75" customHeight="1">
      <c r="B676" s="39"/>
      <c r="C676" s="39"/>
      <c r="D676" s="5"/>
      <c r="F676" s="5"/>
      <c r="G676" s="5"/>
    </row>
    <row r="677" spans="2:7" ht="15.75" customHeight="1">
      <c r="B677" s="39"/>
      <c r="C677" s="39"/>
      <c r="D677" s="5"/>
      <c r="F677" s="5"/>
      <c r="G677" s="5"/>
    </row>
    <row r="678" spans="2:7" ht="15.75" customHeight="1">
      <c r="B678" s="39"/>
      <c r="C678" s="39"/>
      <c r="D678" s="5"/>
      <c r="F678" s="5"/>
      <c r="G678" s="5"/>
    </row>
    <row r="679" spans="2:7" ht="15.75" customHeight="1">
      <c r="B679" s="39"/>
      <c r="C679" s="39"/>
      <c r="D679" s="5"/>
      <c r="F679" s="5"/>
      <c r="G679" s="5"/>
    </row>
    <row r="680" spans="2:7" ht="15.75" customHeight="1">
      <c r="B680" s="39"/>
      <c r="C680" s="39"/>
      <c r="D680" s="5"/>
      <c r="F680" s="5"/>
      <c r="G680" s="5"/>
    </row>
    <row r="681" spans="2:7" ht="15.75" customHeight="1">
      <c r="B681" s="39"/>
      <c r="C681" s="39"/>
      <c r="D681" s="5"/>
      <c r="F681" s="5"/>
      <c r="G681" s="5"/>
    </row>
    <row r="682" spans="2:7" ht="15.75" customHeight="1">
      <c r="B682" s="39"/>
      <c r="C682" s="39"/>
      <c r="D682" s="5"/>
      <c r="F682" s="5"/>
      <c r="G682" s="5"/>
    </row>
    <row r="683" spans="2:7" ht="15.75" customHeight="1">
      <c r="B683" s="39"/>
      <c r="C683" s="39"/>
      <c r="D683" s="5"/>
      <c r="F683" s="5"/>
      <c r="G683" s="5"/>
    </row>
    <row r="684" spans="2:7" ht="15.75" customHeight="1">
      <c r="B684" s="39"/>
      <c r="C684" s="39"/>
      <c r="D684" s="5"/>
      <c r="F684" s="5"/>
      <c r="G684" s="5"/>
    </row>
    <row r="685" spans="2:7" ht="15.75" customHeight="1">
      <c r="B685" s="39"/>
      <c r="C685" s="39"/>
      <c r="D685" s="5"/>
      <c r="F685" s="5"/>
      <c r="G685" s="5"/>
    </row>
    <row r="686" spans="2:7" ht="15.75" customHeight="1">
      <c r="B686" s="39"/>
      <c r="C686" s="39"/>
      <c r="D686" s="5"/>
      <c r="F686" s="5"/>
      <c r="G686" s="5"/>
    </row>
    <row r="687" spans="2:7" ht="15.75" customHeight="1">
      <c r="B687" s="39"/>
      <c r="C687" s="39"/>
      <c r="D687" s="5"/>
      <c r="F687" s="5"/>
      <c r="G687" s="5"/>
    </row>
    <row r="688" spans="2:7" ht="15.75" customHeight="1">
      <c r="B688" s="39"/>
      <c r="C688" s="39"/>
      <c r="D688" s="5"/>
      <c r="F688" s="5"/>
      <c r="G688" s="5"/>
    </row>
    <row r="689" spans="2:7" ht="15.75" customHeight="1">
      <c r="B689" s="39"/>
      <c r="C689" s="39"/>
      <c r="D689" s="5"/>
      <c r="F689" s="5"/>
      <c r="G689" s="5"/>
    </row>
    <row r="690" spans="2:7" ht="15.75" customHeight="1">
      <c r="B690" s="39"/>
      <c r="C690" s="39"/>
      <c r="D690" s="5"/>
      <c r="F690" s="5"/>
      <c r="G690" s="5"/>
    </row>
    <row r="691" spans="2:7" ht="15.75" customHeight="1">
      <c r="B691" s="39"/>
      <c r="C691" s="39"/>
      <c r="D691" s="5"/>
      <c r="F691" s="5"/>
      <c r="G691" s="5"/>
    </row>
    <row r="692" spans="2:7" ht="15.75" customHeight="1">
      <c r="B692" s="39"/>
      <c r="C692" s="39"/>
      <c r="D692" s="5"/>
      <c r="F692" s="5"/>
      <c r="G692" s="5"/>
    </row>
    <row r="693" spans="2:7" ht="15.75" customHeight="1">
      <c r="B693" s="39"/>
      <c r="C693" s="39"/>
      <c r="D693" s="5"/>
      <c r="F693" s="5"/>
      <c r="G693" s="5"/>
    </row>
    <row r="694" spans="2:7" ht="15.75" customHeight="1">
      <c r="B694" s="39"/>
      <c r="C694" s="39"/>
      <c r="D694" s="5"/>
      <c r="F694" s="5"/>
      <c r="G694" s="5"/>
    </row>
    <row r="695" spans="2:7" ht="15.75" customHeight="1">
      <c r="B695" s="39"/>
      <c r="C695" s="39"/>
      <c r="D695" s="5"/>
      <c r="F695" s="5"/>
      <c r="G695" s="5"/>
    </row>
    <row r="696" spans="2:7" ht="15.75" customHeight="1">
      <c r="B696" s="39"/>
      <c r="C696" s="39"/>
      <c r="D696" s="5"/>
      <c r="F696" s="5"/>
      <c r="G696" s="5"/>
    </row>
    <row r="697" spans="2:7" ht="15.75" customHeight="1">
      <c r="B697" s="39"/>
      <c r="C697" s="39"/>
      <c r="D697" s="5"/>
      <c r="F697" s="5"/>
      <c r="G697" s="5"/>
    </row>
    <row r="698" spans="2:7" ht="15.75" customHeight="1">
      <c r="B698" s="39"/>
      <c r="C698" s="39"/>
      <c r="D698" s="5"/>
      <c r="F698" s="5"/>
      <c r="G698" s="5"/>
    </row>
    <row r="699" spans="2:7" ht="15.75" customHeight="1">
      <c r="B699" s="39"/>
      <c r="C699" s="39"/>
      <c r="D699" s="5"/>
      <c r="F699" s="5"/>
      <c r="G699" s="5"/>
    </row>
    <row r="700" spans="2:7" ht="15.75" customHeight="1">
      <c r="B700" s="39"/>
      <c r="C700" s="39"/>
      <c r="D700" s="5"/>
      <c r="F700" s="5"/>
      <c r="G700" s="5"/>
    </row>
    <row r="701" spans="2:7" ht="15.75" customHeight="1">
      <c r="B701" s="39"/>
      <c r="C701" s="39"/>
      <c r="D701" s="5"/>
      <c r="F701" s="5"/>
      <c r="G701" s="5"/>
    </row>
    <row r="702" spans="2:7" ht="15.75" customHeight="1">
      <c r="B702" s="39"/>
      <c r="C702" s="39"/>
      <c r="D702" s="5"/>
      <c r="F702" s="5"/>
      <c r="G702" s="5"/>
    </row>
    <row r="703" spans="2:7" ht="15.75" customHeight="1">
      <c r="B703" s="39"/>
      <c r="C703" s="39"/>
      <c r="D703" s="5"/>
      <c r="F703" s="5"/>
      <c r="G703" s="5"/>
    </row>
    <row r="704" spans="2:7" ht="15.75" customHeight="1">
      <c r="B704" s="39"/>
      <c r="C704" s="39"/>
      <c r="D704" s="5"/>
      <c r="F704" s="5"/>
      <c r="G704" s="5"/>
    </row>
    <row r="705" spans="2:7" ht="15.75" customHeight="1">
      <c r="B705" s="39"/>
      <c r="C705" s="39"/>
      <c r="D705" s="5"/>
      <c r="F705" s="5"/>
      <c r="G705" s="5"/>
    </row>
    <row r="706" spans="2:7" ht="15.75" customHeight="1">
      <c r="B706" s="39"/>
      <c r="C706" s="39"/>
      <c r="D706" s="5"/>
      <c r="F706" s="5"/>
      <c r="G706" s="5"/>
    </row>
    <row r="707" spans="2:7" ht="15.75" customHeight="1">
      <c r="B707" s="39"/>
      <c r="C707" s="39"/>
      <c r="D707" s="5"/>
      <c r="F707" s="5"/>
      <c r="G707" s="5"/>
    </row>
    <row r="708" spans="2:7" ht="15.75" customHeight="1">
      <c r="B708" s="39"/>
      <c r="C708" s="39"/>
      <c r="D708" s="5"/>
      <c r="F708" s="5"/>
      <c r="G708" s="5"/>
    </row>
    <row r="709" spans="2:7" ht="15.75" customHeight="1">
      <c r="B709" s="39"/>
      <c r="C709" s="39"/>
      <c r="D709" s="5"/>
      <c r="F709" s="5"/>
      <c r="G709" s="5"/>
    </row>
    <row r="710" spans="2:7" ht="15.75" customHeight="1">
      <c r="B710" s="39"/>
      <c r="C710" s="39"/>
      <c r="D710" s="5"/>
      <c r="F710" s="5"/>
      <c r="G710" s="5"/>
    </row>
    <row r="711" spans="2:7" ht="15.75" customHeight="1">
      <c r="B711" s="39"/>
      <c r="C711" s="39"/>
      <c r="D711" s="5"/>
      <c r="F711" s="5"/>
      <c r="G711" s="5"/>
    </row>
    <row r="712" spans="2:7" ht="15.75" customHeight="1">
      <c r="B712" s="39"/>
      <c r="C712" s="39"/>
      <c r="D712" s="5"/>
      <c r="F712" s="5"/>
      <c r="G712" s="5"/>
    </row>
    <row r="713" spans="2:7" ht="15.75" customHeight="1">
      <c r="B713" s="39"/>
      <c r="C713" s="39"/>
      <c r="D713" s="5"/>
      <c r="F713" s="5"/>
      <c r="G713" s="5"/>
    </row>
    <row r="714" spans="2:7" ht="15.75" customHeight="1">
      <c r="B714" s="39"/>
      <c r="C714" s="39"/>
      <c r="D714" s="5"/>
      <c r="F714" s="5"/>
      <c r="G714" s="5"/>
    </row>
    <row r="715" spans="2:7" ht="15.75" customHeight="1">
      <c r="B715" s="39"/>
      <c r="C715" s="39"/>
      <c r="D715" s="5"/>
      <c r="F715" s="5"/>
      <c r="G715" s="5"/>
    </row>
    <row r="716" spans="2:7" ht="15.75" customHeight="1">
      <c r="B716" s="39"/>
      <c r="C716" s="39"/>
      <c r="D716" s="5"/>
      <c r="F716" s="5"/>
      <c r="G716" s="5"/>
    </row>
    <row r="717" spans="2:7" ht="15.75" customHeight="1">
      <c r="B717" s="39"/>
      <c r="C717" s="39"/>
      <c r="D717" s="5"/>
      <c r="F717" s="5"/>
      <c r="G717" s="5"/>
    </row>
    <row r="718" spans="2:7" ht="15.75" customHeight="1">
      <c r="B718" s="39"/>
      <c r="C718" s="39"/>
      <c r="D718" s="5"/>
      <c r="F718" s="5"/>
      <c r="G718" s="5"/>
    </row>
    <row r="719" spans="2:7" ht="15.75" customHeight="1">
      <c r="B719" s="39"/>
      <c r="C719" s="39"/>
      <c r="D719" s="5"/>
      <c r="F719" s="5"/>
      <c r="G719" s="5"/>
    </row>
    <row r="720" spans="2:7" ht="15.75" customHeight="1">
      <c r="B720" s="39"/>
      <c r="C720" s="39"/>
      <c r="D720" s="5"/>
      <c r="F720" s="5"/>
      <c r="G720" s="5"/>
    </row>
    <row r="721" spans="2:7" ht="15.75" customHeight="1">
      <c r="B721" s="39"/>
      <c r="C721" s="39"/>
      <c r="D721" s="5"/>
      <c r="F721" s="5"/>
      <c r="G721" s="5"/>
    </row>
    <row r="722" spans="2:7" ht="15.75" customHeight="1">
      <c r="B722" s="39"/>
      <c r="C722" s="39"/>
      <c r="D722" s="5"/>
      <c r="F722" s="5"/>
      <c r="G722" s="5"/>
    </row>
    <row r="723" spans="2:7" ht="15.75" customHeight="1">
      <c r="B723" s="39"/>
      <c r="C723" s="39"/>
      <c r="D723" s="5"/>
      <c r="F723" s="5"/>
      <c r="G723" s="5"/>
    </row>
    <row r="724" spans="2:7" ht="15.75" customHeight="1">
      <c r="B724" s="39"/>
      <c r="C724" s="39"/>
      <c r="D724" s="5"/>
      <c r="F724" s="5"/>
      <c r="G724" s="5"/>
    </row>
    <row r="725" spans="2:7" ht="15.75" customHeight="1">
      <c r="B725" s="39"/>
      <c r="C725" s="39"/>
      <c r="D725" s="5"/>
      <c r="F725" s="5"/>
      <c r="G725" s="5"/>
    </row>
    <row r="726" spans="2:7" ht="15.75" customHeight="1">
      <c r="B726" s="39"/>
      <c r="C726" s="39"/>
      <c r="D726" s="5"/>
      <c r="F726" s="5"/>
      <c r="G726" s="5"/>
    </row>
    <row r="727" spans="2:7" ht="15.75" customHeight="1">
      <c r="B727" s="39"/>
      <c r="C727" s="39"/>
      <c r="D727" s="5"/>
      <c r="F727" s="5"/>
      <c r="G727" s="5"/>
    </row>
    <row r="728" spans="2:7" ht="15.75" customHeight="1">
      <c r="B728" s="39"/>
      <c r="C728" s="39"/>
      <c r="D728" s="5"/>
      <c r="F728" s="5"/>
      <c r="G728" s="5"/>
    </row>
    <row r="729" spans="2:7" ht="15.75" customHeight="1">
      <c r="B729" s="39"/>
      <c r="C729" s="39"/>
      <c r="D729" s="5"/>
      <c r="F729" s="5"/>
      <c r="G729" s="5"/>
    </row>
    <row r="730" spans="2:7" ht="15.75" customHeight="1">
      <c r="B730" s="39"/>
      <c r="C730" s="39"/>
      <c r="D730" s="5"/>
      <c r="F730" s="5"/>
      <c r="G730" s="5"/>
    </row>
    <row r="731" spans="2:7" ht="15.75" customHeight="1">
      <c r="B731" s="39"/>
      <c r="C731" s="39"/>
      <c r="D731" s="5"/>
      <c r="F731" s="5"/>
      <c r="G731" s="5"/>
    </row>
    <row r="732" spans="2:7" ht="15.75" customHeight="1">
      <c r="B732" s="39"/>
      <c r="C732" s="39"/>
      <c r="D732" s="5"/>
      <c r="F732" s="5"/>
      <c r="G732" s="5"/>
    </row>
    <row r="733" spans="2:7" ht="15.75" customHeight="1">
      <c r="B733" s="39"/>
      <c r="C733" s="39"/>
      <c r="D733" s="5"/>
      <c r="F733" s="5"/>
      <c r="G733" s="5"/>
    </row>
    <row r="734" spans="2:7" ht="15.75" customHeight="1">
      <c r="B734" s="39"/>
      <c r="C734" s="39"/>
      <c r="D734" s="5"/>
      <c r="F734" s="5"/>
      <c r="G734" s="5"/>
    </row>
    <row r="735" spans="2:7" ht="15.75" customHeight="1">
      <c r="B735" s="39"/>
      <c r="C735" s="39"/>
      <c r="D735" s="5"/>
      <c r="F735" s="5"/>
      <c r="G735" s="5"/>
    </row>
    <row r="736" spans="2:7" ht="15.75" customHeight="1">
      <c r="B736" s="39"/>
      <c r="C736" s="39"/>
      <c r="D736" s="5"/>
      <c r="F736" s="5"/>
      <c r="G736" s="5"/>
    </row>
    <row r="737" spans="2:7" ht="15.75" customHeight="1">
      <c r="B737" s="39"/>
      <c r="C737" s="39"/>
      <c r="D737" s="5"/>
      <c r="F737" s="5"/>
      <c r="G737" s="5"/>
    </row>
    <row r="738" spans="2:7" ht="15.75" customHeight="1">
      <c r="B738" s="39"/>
      <c r="C738" s="39"/>
      <c r="D738" s="5"/>
      <c r="F738" s="5"/>
      <c r="G738" s="5"/>
    </row>
    <row r="739" spans="2:7" ht="15.75" customHeight="1">
      <c r="B739" s="39"/>
      <c r="C739" s="39"/>
      <c r="D739" s="5"/>
      <c r="F739" s="5"/>
      <c r="G739" s="5"/>
    </row>
    <row r="740" spans="2:7" ht="15.75" customHeight="1">
      <c r="B740" s="39"/>
      <c r="C740" s="39"/>
      <c r="D740" s="5"/>
      <c r="F740" s="5"/>
      <c r="G740" s="5"/>
    </row>
    <row r="741" spans="2:7" ht="15.75" customHeight="1">
      <c r="B741" s="39"/>
      <c r="C741" s="39"/>
      <c r="D741" s="5"/>
      <c r="F741" s="5"/>
      <c r="G741" s="5"/>
    </row>
    <row r="742" spans="2:7" ht="15.75" customHeight="1">
      <c r="B742" s="39"/>
      <c r="C742" s="39"/>
      <c r="D742" s="5"/>
      <c r="F742" s="5"/>
      <c r="G742" s="5"/>
    </row>
    <row r="743" spans="2:7" ht="15.75" customHeight="1">
      <c r="B743" s="39"/>
      <c r="C743" s="39"/>
      <c r="D743" s="5"/>
      <c r="F743" s="5"/>
      <c r="G743" s="5"/>
    </row>
    <row r="744" spans="2:7" ht="15.75" customHeight="1">
      <c r="B744" s="39"/>
      <c r="C744" s="39"/>
      <c r="D744" s="5"/>
      <c r="F744" s="5"/>
      <c r="G744" s="5"/>
    </row>
    <row r="745" spans="2:7" ht="15.75" customHeight="1">
      <c r="B745" s="39"/>
      <c r="C745" s="39"/>
      <c r="D745" s="5"/>
      <c r="F745" s="5"/>
      <c r="G745" s="5"/>
    </row>
    <row r="746" spans="2:7" ht="15.75" customHeight="1">
      <c r="B746" s="39"/>
      <c r="C746" s="39"/>
      <c r="D746" s="5"/>
      <c r="F746" s="5"/>
      <c r="G746" s="5"/>
    </row>
    <row r="747" spans="2:7" ht="15.75" customHeight="1">
      <c r="B747" s="39"/>
      <c r="C747" s="39"/>
      <c r="D747" s="5"/>
      <c r="F747" s="5"/>
      <c r="G747" s="5"/>
    </row>
    <row r="748" spans="2:7" ht="15.75" customHeight="1">
      <c r="B748" s="39"/>
      <c r="C748" s="39"/>
      <c r="D748" s="5"/>
      <c r="F748" s="5"/>
      <c r="G748" s="5"/>
    </row>
    <row r="749" spans="2:7" ht="15.75" customHeight="1">
      <c r="B749" s="39"/>
      <c r="C749" s="39"/>
      <c r="D749" s="5"/>
      <c r="F749" s="5"/>
      <c r="G749" s="5"/>
    </row>
    <row r="750" spans="2:7" ht="15.75" customHeight="1">
      <c r="B750" s="39"/>
      <c r="C750" s="39"/>
      <c r="D750" s="5"/>
      <c r="F750" s="5"/>
      <c r="G750" s="5"/>
    </row>
    <row r="751" spans="2:7" ht="15.75" customHeight="1">
      <c r="B751" s="39"/>
      <c r="C751" s="39"/>
      <c r="D751" s="5"/>
      <c r="F751" s="5"/>
      <c r="G751" s="5"/>
    </row>
    <row r="752" spans="2:7" ht="15.75" customHeight="1">
      <c r="B752" s="39"/>
      <c r="C752" s="39"/>
      <c r="D752" s="5"/>
      <c r="F752" s="5"/>
      <c r="G752" s="5"/>
    </row>
    <row r="753" spans="2:7" ht="15.75" customHeight="1">
      <c r="B753" s="39"/>
      <c r="C753" s="39"/>
      <c r="D753" s="5"/>
      <c r="F753" s="5"/>
      <c r="G753" s="5"/>
    </row>
    <row r="754" spans="2:7" ht="15.75" customHeight="1">
      <c r="B754" s="39"/>
      <c r="C754" s="39"/>
      <c r="D754" s="5"/>
      <c r="F754" s="5"/>
      <c r="G754" s="5"/>
    </row>
    <row r="755" spans="2:7" ht="15.75" customHeight="1">
      <c r="B755" s="39"/>
      <c r="C755" s="39"/>
      <c r="D755" s="5"/>
      <c r="F755" s="5"/>
      <c r="G755" s="5"/>
    </row>
    <row r="756" spans="2:7" ht="15.75" customHeight="1">
      <c r="B756" s="39"/>
      <c r="C756" s="39"/>
      <c r="D756" s="5"/>
      <c r="F756" s="5"/>
      <c r="G756" s="5"/>
    </row>
    <row r="757" spans="2:7" ht="15.75" customHeight="1">
      <c r="B757" s="39"/>
      <c r="C757" s="39"/>
      <c r="D757" s="5"/>
      <c r="F757" s="5"/>
      <c r="G757" s="5"/>
    </row>
    <row r="758" spans="2:7" ht="15.75" customHeight="1">
      <c r="B758" s="39"/>
      <c r="C758" s="39"/>
      <c r="D758" s="5"/>
      <c r="F758" s="5"/>
      <c r="G758" s="5"/>
    </row>
    <row r="759" spans="2:7" ht="15.75" customHeight="1">
      <c r="B759" s="39"/>
      <c r="C759" s="39"/>
      <c r="D759" s="5"/>
      <c r="F759" s="5"/>
      <c r="G759" s="5"/>
    </row>
    <row r="760" spans="2:7" ht="15.75" customHeight="1">
      <c r="B760" s="39"/>
      <c r="C760" s="39"/>
      <c r="D760" s="5"/>
      <c r="F760" s="5"/>
      <c r="G760" s="5"/>
    </row>
    <row r="761" spans="2:7" ht="15.75" customHeight="1">
      <c r="B761" s="39"/>
      <c r="C761" s="39"/>
      <c r="D761" s="5"/>
      <c r="F761" s="5"/>
      <c r="G761" s="5"/>
    </row>
    <row r="762" spans="2:7" ht="15.75" customHeight="1">
      <c r="B762" s="39"/>
      <c r="C762" s="39"/>
      <c r="D762" s="5"/>
      <c r="F762" s="5"/>
      <c r="G762" s="5"/>
    </row>
    <row r="763" spans="2:7" ht="15.75" customHeight="1">
      <c r="B763" s="39"/>
      <c r="C763" s="39"/>
      <c r="D763" s="5"/>
      <c r="F763" s="5"/>
      <c r="G763" s="5"/>
    </row>
    <row r="764" spans="2:7" ht="15.75" customHeight="1">
      <c r="B764" s="39"/>
      <c r="C764" s="39"/>
      <c r="D764" s="5"/>
      <c r="F764" s="5"/>
      <c r="G764" s="5"/>
    </row>
    <row r="765" spans="2:7" ht="15.75" customHeight="1">
      <c r="B765" s="39"/>
      <c r="C765" s="39"/>
      <c r="D765" s="5"/>
      <c r="F765" s="5"/>
      <c r="G765" s="5"/>
    </row>
    <row r="766" spans="2:7" ht="15.75" customHeight="1">
      <c r="B766" s="39"/>
      <c r="C766" s="39"/>
      <c r="D766" s="5"/>
      <c r="F766" s="5"/>
      <c r="G766" s="5"/>
    </row>
    <row r="767" spans="2:7" ht="15.75" customHeight="1">
      <c r="B767" s="39"/>
      <c r="C767" s="39"/>
      <c r="D767" s="5"/>
      <c r="F767" s="5"/>
      <c r="G767" s="5"/>
    </row>
    <row r="768" spans="2:7" ht="15.75" customHeight="1">
      <c r="B768" s="39"/>
      <c r="C768" s="39"/>
      <c r="D768" s="5"/>
      <c r="F768" s="5"/>
      <c r="G768" s="5"/>
    </row>
    <row r="769" spans="2:7" ht="15.75" customHeight="1">
      <c r="B769" s="39"/>
      <c r="C769" s="39"/>
      <c r="D769" s="5"/>
      <c r="F769" s="5"/>
      <c r="G769" s="5"/>
    </row>
    <row r="770" spans="2:7" ht="15.75" customHeight="1">
      <c r="B770" s="39"/>
      <c r="C770" s="39"/>
      <c r="D770" s="5"/>
      <c r="F770" s="5"/>
      <c r="G770" s="5"/>
    </row>
    <row r="771" spans="2:7" ht="15.75" customHeight="1">
      <c r="B771" s="39"/>
      <c r="C771" s="39"/>
      <c r="D771" s="5"/>
      <c r="F771" s="5"/>
      <c r="G771" s="5"/>
    </row>
    <row r="772" spans="2:7" ht="15.75" customHeight="1">
      <c r="B772" s="39"/>
      <c r="C772" s="39"/>
      <c r="D772" s="5"/>
      <c r="F772" s="5"/>
      <c r="G772" s="5"/>
    </row>
    <row r="773" spans="2:7" ht="15.75" customHeight="1">
      <c r="B773" s="39"/>
      <c r="C773" s="39"/>
      <c r="D773" s="5"/>
      <c r="F773" s="5"/>
      <c r="G773" s="5"/>
    </row>
    <row r="774" spans="2:7" ht="15.75" customHeight="1">
      <c r="B774" s="39"/>
      <c r="C774" s="39"/>
      <c r="D774" s="5"/>
      <c r="F774" s="5"/>
      <c r="G774" s="5"/>
    </row>
    <row r="775" spans="2:7" ht="15.75" customHeight="1">
      <c r="B775" s="39"/>
      <c r="C775" s="39"/>
      <c r="D775" s="5"/>
      <c r="F775" s="5"/>
      <c r="G775" s="5"/>
    </row>
    <row r="776" spans="2:7" ht="15.75" customHeight="1">
      <c r="B776" s="39"/>
      <c r="C776" s="39"/>
      <c r="D776" s="5"/>
      <c r="F776" s="5"/>
      <c r="G776" s="5"/>
    </row>
    <row r="777" spans="2:7" ht="15.75" customHeight="1">
      <c r="B777" s="39"/>
      <c r="C777" s="39"/>
      <c r="D777" s="5"/>
      <c r="F777" s="5"/>
      <c r="G777" s="5"/>
    </row>
    <row r="778" spans="2:7" ht="15.75" customHeight="1">
      <c r="B778" s="39"/>
      <c r="C778" s="39"/>
      <c r="D778" s="5"/>
      <c r="F778" s="5"/>
      <c r="G778" s="5"/>
    </row>
    <row r="779" spans="2:7" ht="15.75" customHeight="1">
      <c r="B779" s="39"/>
      <c r="C779" s="39"/>
      <c r="D779" s="5"/>
      <c r="F779" s="5"/>
      <c r="G779" s="5"/>
    </row>
    <row r="780" spans="2:7" ht="15.75" customHeight="1">
      <c r="B780" s="39"/>
      <c r="C780" s="39"/>
      <c r="D780" s="5"/>
      <c r="F780" s="5"/>
      <c r="G780" s="5"/>
    </row>
    <row r="781" spans="2:7" ht="15.75" customHeight="1">
      <c r="B781" s="39"/>
      <c r="C781" s="39"/>
      <c r="D781" s="5"/>
      <c r="F781" s="5"/>
      <c r="G781" s="5"/>
    </row>
    <row r="782" spans="2:7" ht="15.75" customHeight="1">
      <c r="B782" s="39"/>
      <c r="C782" s="39"/>
      <c r="D782" s="5"/>
      <c r="F782" s="5"/>
      <c r="G782" s="5"/>
    </row>
    <row r="783" spans="2:7" ht="15.75" customHeight="1">
      <c r="B783" s="39"/>
      <c r="C783" s="39"/>
      <c r="D783" s="5"/>
      <c r="F783" s="5"/>
      <c r="G783" s="5"/>
    </row>
    <row r="784" spans="2:7" ht="15.75" customHeight="1">
      <c r="B784" s="39"/>
      <c r="C784" s="39"/>
      <c r="D784" s="5"/>
      <c r="F784" s="5"/>
      <c r="G784" s="5"/>
    </row>
    <row r="785" spans="2:7" ht="15.75" customHeight="1">
      <c r="B785" s="39"/>
      <c r="C785" s="39"/>
      <c r="D785" s="5"/>
      <c r="F785" s="5"/>
      <c r="G785" s="5"/>
    </row>
    <row r="786" spans="2:7" ht="15.75" customHeight="1">
      <c r="B786" s="39"/>
      <c r="C786" s="39"/>
      <c r="D786" s="5"/>
      <c r="F786" s="5"/>
      <c r="G786" s="5"/>
    </row>
    <row r="787" spans="2:7" ht="15.75" customHeight="1">
      <c r="B787" s="39"/>
      <c r="C787" s="39"/>
      <c r="D787" s="5"/>
      <c r="F787" s="5"/>
      <c r="G787" s="5"/>
    </row>
    <row r="788" spans="2:7" ht="15.75" customHeight="1">
      <c r="B788" s="39"/>
      <c r="C788" s="39"/>
      <c r="D788" s="5"/>
      <c r="F788" s="5"/>
      <c r="G788" s="5"/>
    </row>
    <row r="789" spans="2:7" ht="15.75" customHeight="1">
      <c r="B789" s="39"/>
      <c r="C789" s="39"/>
      <c r="D789" s="5"/>
      <c r="F789" s="5"/>
      <c r="G789" s="5"/>
    </row>
    <row r="790" spans="2:7" ht="15.75" customHeight="1">
      <c r="B790" s="39"/>
      <c r="C790" s="39"/>
      <c r="D790" s="5"/>
      <c r="F790" s="5"/>
      <c r="G790" s="5"/>
    </row>
    <row r="791" spans="2:7" ht="15.75" customHeight="1">
      <c r="B791" s="39"/>
      <c r="C791" s="39"/>
      <c r="D791" s="5"/>
      <c r="F791" s="5"/>
      <c r="G791" s="5"/>
    </row>
    <row r="792" spans="2:7" ht="15.75" customHeight="1">
      <c r="B792" s="39"/>
      <c r="C792" s="39"/>
      <c r="D792" s="5"/>
      <c r="F792" s="5"/>
      <c r="G792" s="5"/>
    </row>
    <row r="793" spans="2:7" ht="15.75" customHeight="1">
      <c r="B793" s="39"/>
      <c r="C793" s="39"/>
      <c r="D793" s="5"/>
      <c r="F793" s="5"/>
      <c r="G793" s="5"/>
    </row>
    <row r="794" spans="2:7" ht="15.75" customHeight="1">
      <c r="B794" s="39"/>
      <c r="C794" s="39"/>
      <c r="D794" s="5"/>
      <c r="F794" s="5"/>
      <c r="G794" s="5"/>
    </row>
    <row r="795" spans="2:7" ht="15.75" customHeight="1">
      <c r="B795" s="39"/>
      <c r="C795" s="39"/>
      <c r="D795" s="5"/>
      <c r="F795" s="5"/>
      <c r="G795" s="5"/>
    </row>
    <row r="796" spans="2:7" ht="15.75" customHeight="1">
      <c r="B796" s="39"/>
      <c r="C796" s="39"/>
      <c r="D796" s="5"/>
      <c r="F796" s="5"/>
      <c r="G796" s="5"/>
    </row>
    <row r="797" spans="2:7" ht="15.75" customHeight="1">
      <c r="B797" s="39"/>
      <c r="C797" s="39"/>
      <c r="D797" s="5"/>
      <c r="F797" s="5"/>
      <c r="G797" s="5"/>
    </row>
    <row r="798" spans="2:7" ht="15.75" customHeight="1">
      <c r="B798" s="39"/>
      <c r="C798" s="39"/>
      <c r="D798" s="5"/>
      <c r="F798" s="5"/>
      <c r="G798" s="5"/>
    </row>
    <row r="799" spans="2:7" ht="15.75" customHeight="1">
      <c r="B799" s="39"/>
      <c r="C799" s="39"/>
      <c r="D799" s="5"/>
      <c r="F799" s="5"/>
      <c r="G799" s="5"/>
    </row>
    <row r="800" spans="2:7" ht="15.75" customHeight="1">
      <c r="B800" s="39"/>
      <c r="C800" s="39"/>
      <c r="D800" s="5"/>
      <c r="F800" s="5"/>
      <c r="G800" s="5"/>
    </row>
    <row r="801" spans="2:7" ht="15.75" customHeight="1">
      <c r="B801" s="39"/>
      <c r="C801" s="39"/>
      <c r="D801" s="5"/>
      <c r="F801" s="5"/>
      <c r="G801" s="5"/>
    </row>
    <row r="802" spans="2:7" ht="15.75" customHeight="1">
      <c r="B802" s="39"/>
      <c r="C802" s="39"/>
      <c r="D802" s="5"/>
      <c r="F802" s="5"/>
      <c r="G802" s="5"/>
    </row>
    <row r="803" spans="2:7" ht="15.75" customHeight="1">
      <c r="B803" s="39"/>
      <c r="C803" s="39"/>
      <c r="D803" s="5"/>
      <c r="F803" s="5"/>
      <c r="G803" s="5"/>
    </row>
    <row r="804" spans="2:7" ht="15.75" customHeight="1">
      <c r="B804" s="39"/>
      <c r="C804" s="39"/>
      <c r="D804" s="5"/>
      <c r="F804" s="5"/>
      <c r="G804" s="5"/>
    </row>
    <row r="805" spans="2:7" ht="15.75" customHeight="1">
      <c r="B805" s="39"/>
      <c r="C805" s="39"/>
      <c r="D805" s="5"/>
      <c r="F805" s="5"/>
      <c r="G805" s="5"/>
    </row>
    <row r="806" spans="2:7" ht="15.75" customHeight="1">
      <c r="B806" s="39"/>
      <c r="C806" s="39"/>
      <c r="D806" s="5"/>
      <c r="F806" s="5"/>
      <c r="G806" s="5"/>
    </row>
    <row r="807" spans="2:7" ht="15.75" customHeight="1">
      <c r="B807" s="39"/>
      <c r="C807" s="39"/>
      <c r="D807" s="5"/>
      <c r="F807" s="5"/>
      <c r="G807" s="5"/>
    </row>
    <row r="808" spans="2:7" ht="15.75" customHeight="1">
      <c r="B808" s="39"/>
      <c r="C808" s="39"/>
      <c r="D808" s="5"/>
      <c r="F808" s="5"/>
      <c r="G808" s="5"/>
    </row>
    <row r="809" spans="2:7" ht="15.75" customHeight="1">
      <c r="B809" s="39"/>
      <c r="C809" s="39"/>
      <c r="D809" s="5"/>
      <c r="F809" s="5"/>
      <c r="G809" s="5"/>
    </row>
    <row r="810" spans="2:7" ht="15.75" customHeight="1">
      <c r="B810" s="39"/>
      <c r="C810" s="39"/>
      <c r="D810" s="5"/>
      <c r="F810" s="5"/>
      <c r="G810" s="5"/>
    </row>
    <row r="811" spans="2:7" ht="15.75" customHeight="1">
      <c r="B811" s="39"/>
      <c r="C811" s="39"/>
      <c r="D811" s="5"/>
      <c r="F811" s="5"/>
      <c r="G811" s="5"/>
    </row>
    <row r="812" spans="2:7" ht="15.75" customHeight="1">
      <c r="B812" s="39"/>
      <c r="C812" s="39"/>
      <c r="D812" s="5"/>
      <c r="F812" s="5"/>
      <c r="G812" s="5"/>
    </row>
    <row r="813" spans="2:7" ht="15.75" customHeight="1">
      <c r="B813" s="39"/>
      <c r="C813" s="39"/>
      <c r="D813" s="5"/>
      <c r="F813" s="5"/>
      <c r="G813" s="5"/>
    </row>
    <row r="814" spans="2:7" ht="15.75" customHeight="1">
      <c r="B814" s="39"/>
      <c r="C814" s="39"/>
      <c r="D814" s="5"/>
      <c r="F814" s="5"/>
      <c r="G814" s="5"/>
    </row>
    <row r="815" spans="2:7" ht="15.75" customHeight="1">
      <c r="B815" s="39"/>
      <c r="C815" s="39"/>
      <c r="D815" s="5"/>
      <c r="F815" s="5"/>
      <c r="G815" s="5"/>
    </row>
    <row r="816" spans="2:7" ht="15.75" customHeight="1">
      <c r="B816" s="39"/>
      <c r="C816" s="39"/>
      <c r="D816" s="5"/>
      <c r="F816" s="5"/>
      <c r="G816" s="5"/>
    </row>
    <row r="817" spans="2:7" ht="15.75" customHeight="1">
      <c r="B817" s="39"/>
      <c r="C817" s="39"/>
      <c r="D817" s="5"/>
      <c r="F817" s="5"/>
      <c r="G817" s="5"/>
    </row>
    <row r="818" spans="2:7" ht="15.75" customHeight="1">
      <c r="B818" s="39"/>
      <c r="C818" s="39"/>
      <c r="D818" s="5"/>
      <c r="F818" s="5"/>
      <c r="G818" s="5"/>
    </row>
    <row r="819" spans="2:7" ht="15.75" customHeight="1">
      <c r="B819" s="39"/>
      <c r="C819" s="39"/>
      <c r="D819" s="5"/>
      <c r="F819" s="5"/>
      <c r="G819" s="5"/>
    </row>
    <row r="820" spans="2:7" ht="15.75" customHeight="1">
      <c r="B820" s="39"/>
      <c r="C820" s="39"/>
      <c r="D820" s="5"/>
      <c r="F820" s="5"/>
      <c r="G820" s="5"/>
    </row>
    <row r="821" spans="2:7" ht="15.75" customHeight="1">
      <c r="B821" s="39"/>
      <c r="C821" s="39"/>
      <c r="D821" s="5"/>
      <c r="F821" s="5"/>
      <c r="G821" s="5"/>
    </row>
    <row r="822" spans="2:7" ht="15.75" customHeight="1">
      <c r="B822" s="39"/>
      <c r="C822" s="39"/>
      <c r="D822" s="5"/>
      <c r="F822" s="5"/>
      <c r="G822" s="5"/>
    </row>
    <row r="823" spans="2:7" ht="15.75" customHeight="1">
      <c r="B823" s="39"/>
      <c r="C823" s="39"/>
      <c r="D823" s="5"/>
      <c r="F823" s="5"/>
      <c r="G823" s="5"/>
    </row>
    <row r="824" spans="2:7" ht="15.75" customHeight="1">
      <c r="B824" s="39"/>
      <c r="C824" s="39"/>
      <c r="D824" s="5"/>
      <c r="F824" s="5"/>
      <c r="G824" s="5"/>
    </row>
    <row r="825" spans="2:7" ht="15.75" customHeight="1">
      <c r="B825" s="39"/>
      <c r="C825" s="39"/>
      <c r="D825" s="5"/>
      <c r="F825" s="5"/>
      <c r="G825" s="5"/>
    </row>
    <row r="826" spans="2:7" ht="15.75" customHeight="1">
      <c r="B826" s="39"/>
      <c r="C826" s="39"/>
      <c r="D826" s="5"/>
      <c r="F826" s="5"/>
      <c r="G826" s="5"/>
    </row>
    <row r="827" spans="2:7" ht="15.75" customHeight="1">
      <c r="B827" s="39"/>
      <c r="C827" s="39"/>
      <c r="D827" s="5"/>
      <c r="F827" s="5"/>
      <c r="G827" s="5"/>
    </row>
    <row r="828" spans="2:7" ht="15.75" customHeight="1">
      <c r="B828" s="39"/>
      <c r="C828" s="39"/>
      <c r="D828" s="5"/>
      <c r="F828" s="5"/>
      <c r="G828" s="5"/>
    </row>
    <row r="829" spans="2:7" ht="15.75" customHeight="1">
      <c r="B829" s="39"/>
      <c r="C829" s="39"/>
      <c r="D829" s="5"/>
      <c r="F829" s="5"/>
      <c r="G829" s="5"/>
    </row>
    <row r="830" spans="2:7" ht="15.75" customHeight="1">
      <c r="B830" s="39"/>
      <c r="C830" s="39"/>
      <c r="D830" s="5"/>
      <c r="F830" s="5"/>
      <c r="G830" s="5"/>
    </row>
    <row r="831" spans="2:7" ht="15.75" customHeight="1">
      <c r="B831" s="39"/>
      <c r="C831" s="39"/>
      <c r="D831" s="5"/>
      <c r="F831" s="5"/>
      <c r="G831" s="5"/>
    </row>
    <row r="832" spans="2:7" ht="15.75" customHeight="1">
      <c r="B832" s="39"/>
      <c r="C832" s="39"/>
      <c r="D832" s="5"/>
      <c r="F832" s="5"/>
      <c r="G832" s="5"/>
    </row>
    <row r="833" spans="2:7" ht="15.75" customHeight="1">
      <c r="B833" s="39"/>
      <c r="C833" s="39"/>
      <c r="D833" s="5"/>
      <c r="F833" s="5"/>
      <c r="G833" s="5"/>
    </row>
    <row r="834" spans="2:7" ht="15.75" customHeight="1">
      <c r="B834" s="39"/>
      <c r="C834" s="39"/>
      <c r="D834" s="5"/>
      <c r="F834" s="5"/>
      <c r="G834" s="5"/>
    </row>
    <row r="835" spans="2:7" ht="15.75" customHeight="1">
      <c r="B835" s="39"/>
      <c r="C835" s="39"/>
      <c r="D835" s="5"/>
      <c r="F835" s="5"/>
      <c r="G835" s="5"/>
    </row>
    <row r="836" spans="2:7" ht="15.75" customHeight="1">
      <c r="B836" s="39"/>
      <c r="C836" s="39"/>
      <c r="D836" s="5"/>
      <c r="F836" s="5"/>
      <c r="G836" s="5"/>
    </row>
    <row r="837" spans="2:7" ht="15.75" customHeight="1">
      <c r="B837" s="39"/>
      <c r="C837" s="39"/>
      <c r="D837" s="5"/>
      <c r="F837" s="5"/>
      <c r="G837" s="5"/>
    </row>
    <row r="838" spans="2:7" ht="15.75" customHeight="1">
      <c r="B838" s="39"/>
      <c r="C838" s="39"/>
      <c r="D838" s="5"/>
      <c r="F838" s="5"/>
      <c r="G838" s="5"/>
    </row>
    <row r="839" spans="2:7" ht="15.75" customHeight="1">
      <c r="B839" s="39"/>
      <c r="C839" s="39"/>
      <c r="D839" s="5"/>
      <c r="F839" s="5"/>
      <c r="G839" s="5"/>
    </row>
    <row r="840" spans="2:7" ht="15.75" customHeight="1">
      <c r="B840" s="39"/>
      <c r="C840" s="39"/>
      <c r="D840" s="5"/>
      <c r="F840" s="5"/>
      <c r="G840" s="5"/>
    </row>
    <row r="841" spans="2:7" ht="15.75" customHeight="1">
      <c r="B841" s="39"/>
      <c r="C841" s="39"/>
      <c r="D841" s="5"/>
      <c r="F841" s="5"/>
      <c r="G841" s="5"/>
    </row>
    <row r="842" spans="2:7" ht="15.75" customHeight="1">
      <c r="B842" s="39"/>
      <c r="C842" s="39"/>
      <c r="D842" s="5"/>
      <c r="F842" s="5"/>
      <c r="G842" s="5"/>
    </row>
    <row r="843" spans="2:7" ht="15.75" customHeight="1">
      <c r="B843" s="39"/>
      <c r="C843" s="39"/>
      <c r="D843" s="5"/>
      <c r="F843" s="5"/>
      <c r="G843" s="5"/>
    </row>
    <row r="844" spans="2:7" ht="15.75" customHeight="1">
      <c r="B844" s="39"/>
      <c r="C844" s="39"/>
      <c r="D844" s="5"/>
      <c r="F844" s="5"/>
      <c r="G844" s="5"/>
    </row>
    <row r="845" spans="2:7" ht="15.75" customHeight="1">
      <c r="B845" s="39"/>
      <c r="C845" s="39"/>
      <c r="D845" s="5"/>
      <c r="F845" s="5"/>
      <c r="G845" s="5"/>
    </row>
    <row r="846" spans="2:7" ht="15.75" customHeight="1">
      <c r="B846" s="39"/>
      <c r="C846" s="39"/>
      <c r="D846" s="5"/>
      <c r="F846" s="5"/>
      <c r="G846" s="5"/>
    </row>
    <row r="847" spans="2:7" ht="15.75" customHeight="1">
      <c r="B847" s="39"/>
      <c r="C847" s="39"/>
      <c r="D847" s="5"/>
      <c r="F847" s="5"/>
      <c r="G847" s="5"/>
    </row>
    <row r="848" spans="2:7" ht="15.75" customHeight="1">
      <c r="B848" s="39"/>
      <c r="C848" s="39"/>
      <c r="D848" s="5"/>
      <c r="F848" s="5"/>
      <c r="G848" s="5"/>
    </row>
    <row r="849" spans="2:7" ht="15.75" customHeight="1">
      <c r="B849" s="39"/>
      <c r="C849" s="39"/>
      <c r="D849" s="5"/>
      <c r="F849" s="5"/>
      <c r="G849" s="5"/>
    </row>
    <row r="850" spans="2:7" ht="15.75" customHeight="1">
      <c r="B850" s="39"/>
      <c r="C850" s="39"/>
      <c r="D850" s="5"/>
      <c r="F850" s="5"/>
      <c r="G850" s="5"/>
    </row>
    <row r="851" spans="2:7" ht="15.75" customHeight="1">
      <c r="B851" s="39"/>
      <c r="C851" s="39"/>
      <c r="D851" s="5"/>
      <c r="F851" s="5"/>
      <c r="G851" s="5"/>
    </row>
    <row r="852" spans="2:7" ht="15.75" customHeight="1">
      <c r="B852" s="39"/>
      <c r="C852" s="39"/>
      <c r="D852" s="5"/>
      <c r="F852" s="5"/>
      <c r="G852" s="5"/>
    </row>
    <row r="853" spans="2:7" ht="15.75" customHeight="1">
      <c r="B853" s="39"/>
      <c r="C853" s="39"/>
      <c r="D853" s="5"/>
      <c r="F853" s="5"/>
      <c r="G853" s="5"/>
    </row>
    <row r="854" spans="2:7" ht="15.75" customHeight="1">
      <c r="B854" s="39"/>
      <c r="C854" s="39"/>
      <c r="D854" s="5"/>
      <c r="F854" s="5"/>
      <c r="G854" s="5"/>
    </row>
    <row r="855" spans="2:7" ht="15.75" customHeight="1">
      <c r="B855" s="39"/>
      <c r="C855" s="39"/>
      <c r="D855" s="5"/>
      <c r="F855" s="5"/>
      <c r="G855" s="5"/>
    </row>
    <row r="856" spans="2:7" ht="15.75" customHeight="1">
      <c r="B856" s="39"/>
      <c r="C856" s="39"/>
      <c r="D856" s="5"/>
      <c r="F856" s="5"/>
      <c r="G856" s="5"/>
    </row>
    <row r="857" spans="2:7" ht="15.75" customHeight="1">
      <c r="B857" s="39"/>
      <c r="C857" s="39"/>
      <c r="D857" s="5"/>
      <c r="F857" s="5"/>
      <c r="G857" s="5"/>
    </row>
    <row r="858" spans="2:7" ht="15.75" customHeight="1">
      <c r="B858" s="39"/>
      <c r="C858" s="39"/>
      <c r="D858" s="5"/>
      <c r="F858" s="5"/>
      <c r="G858" s="5"/>
    </row>
    <row r="859" spans="2:7" ht="15.75" customHeight="1">
      <c r="B859" s="39"/>
      <c r="C859" s="39"/>
      <c r="D859" s="5"/>
      <c r="F859" s="5"/>
      <c r="G859" s="5"/>
    </row>
    <row r="860" spans="2:7" ht="15.75" customHeight="1">
      <c r="B860" s="39"/>
      <c r="C860" s="39"/>
      <c r="D860" s="5"/>
      <c r="F860" s="5"/>
      <c r="G860" s="5"/>
    </row>
    <row r="861" spans="2:7" ht="15.75" customHeight="1">
      <c r="B861" s="39"/>
      <c r="C861" s="39"/>
      <c r="D861" s="5"/>
      <c r="F861" s="5"/>
      <c r="G861" s="5"/>
    </row>
    <row r="862" spans="2:7" ht="15.75" customHeight="1">
      <c r="B862" s="39"/>
      <c r="C862" s="39"/>
      <c r="D862" s="5"/>
      <c r="F862" s="5"/>
      <c r="G862" s="5"/>
    </row>
    <row r="863" spans="2:7" ht="15.75" customHeight="1">
      <c r="B863" s="39"/>
      <c r="C863" s="39"/>
      <c r="D863" s="5"/>
      <c r="F863" s="5"/>
      <c r="G863" s="5"/>
    </row>
    <row r="864" spans="2:7" ht="15.75" customHeight="1">
      <c r="B864" s="39"/>
      <c r="C864" s="39"/>
      <c r="D864" s="5"/>
      <c r="F864" s="5"/>
      <c r="G864" s="5"/>
    </row>
    <row r="865" spans="2:7" ht="15.75" customHeight="1">
      <c r="B865" s="39"/>
      <c r="C865" s="39"/>
      <c r="D865" s="5"/>
      <c r="F865" s="5"/>
      <c r="G865" s="5"/>
    </row>
    <row r="866" spans="2:7" ht="15.75" customHeight="1">
      <c r="B866" s="39"/>
      <c r="C866" s="39"/>
      <c r="D866" s="5"/>
      <c r="F866" s="5"/>
      <c r="G866" s="5"/>
    </row>
    <row r="867" spans="2:7" ht="15.75" customHeight="1">
      <c r="B867" s="39"/>
      <c r="C867" s="39"/>
      <c r="D867" s="5"/>
      <c r="F867" s="5"/>
      <c r="G867" s="5"/>
    </row>
    <row r="868" spans="2:7" ht="15.75" customHeight="1">
      <c r="B868" s="39"/>
      <c r="C868" s="39"/>
      <c r="D868" s="5"/>
      <c r="F868" s="5"/>
      <c r="G868" s="5"/>
    </row>
    <row r="869" spans="2:7" ht="15.75" customHeight="1">
      <c r="B869" s="39"/>
      <c r="C869" s="39"/>
      <c r="D869" s="5"/>
      <c r="F869" s="5"/>
      <c r="G869" s="5"/>
    </row>
    <row r="870" spans="2:7" ht="15.75" customHeight="1">
      <c r="B870" s="39"/>
      <c r="C870" s="39"/>
      <c r="D870" s="5"/>
      <c r="F870" s="5"/>
      <c r="G870" s="5"/>
    </row>
    <row r="871" spans="2:7" ht="15.75" customHeight="1">
      <c r="B871" s="39"/>
      <c r="C871" s="39"/>
      <c r="D871" s="5"/>
      <c r="F871" s="5"/>
      <c r="G871" s="5"/>
    </row>
    <row r="872" spans="2:7" ht="15.75" customHeight="1">
      <c r="B872" s="39"/>
      <c r="C872" s="39"/>
      <c r="D872" s="5"/>
      <c r="F872" s="5"/>
      <c r="G872" s="5"/>
    </row>
    <row r="873" spans="2:7" ht="15.75" customHeight="1">
      <c r="B873" s="39"/>
      <c r="C873" s="39"/>
      <c r="D873" s="5"/>
      <c r="F873" s="5"/>
      <c r="G873" s="5"/>
    </row>
    <row r="874" spans="2:7" ht="15.75" customHeight="1">
      <c r="B874" s="39"/>
      <c r="C874" s="39"/>
      <c r="D874" s="5"/>
      <c r="F874" s="5"/>
      <c r="G874" s="5"/>
    </row>
    <row r="875" spans="2:7" ht="15.75" customHeight="1">
      <c r="B875" s="39"/>
      <c r="C875" s="39"/>
      <c r="D875" s="5"/>
      <c r="F875" s="5"/>
      <c r="G875" s="5"/>
    </row>
    <row r="876" spans="2:7" ht="15.75" customHeight="1">
      <c r="B876" s="39"/>
      <c r="C876" s="39"/>
      <c r="D876" s="5"/>
      <c r="F876" s="5"/>
      <c r="G876" s="5"/>
    </row>
    <row r="877" spans="2:7" ht="15.75" customHeight="1">
      <c r="B877" s="39"/>
      <c r="C877" s="39"/>
      <c r="D877" s="5"/>
      <c r="F877" s="5"/>
      <c r="G877" s="5"/>
    </row>
    <row r="878" spans="2:7" ht="15.75" customHeight="1">
      <c r="B878" s="39"/>
      <c r="C878" s="39"/>
      <c r="D878" s="5"/>
      <c r="F878" s="5"/>
      <c r="G878" s="5"/>
    </row>
    <row r="879" spans="2:7" ht="15.75" customHeight="1">
      <c r="B879" s="39"/>
      <c r="C879" s="39"/>
      <c r="D879" s="5"/>
      <c r="F879" s="5"/>
      <c r="G879" s="5"/>
    </row>
    <row r="880" spans="2:7" ht="15.75" customHeight="1">
      <c r="B880" s="39"/>
      <c r="C880" s="39"/>
      <c r="D880" s="5"/>
      <c r="F880" s="5"/>
      <c r="G880" s="5"/>
    </row>
    <row r="881" spans="2:7" ht="15.75" customHeight="1">
      <c r="B881" s="39"/>
      <c r="C881" s="39"/>
      <c r="D881" s="5"/>
      <c r="F881" s="5"/>
      <c r="G881" s="5"/>
    </row>
    <row r="882" spans="2:7" ht="15.75" customHeight="1">
      <c r="B882" s="39"/>
      <c r="C882" s="39"/>
      <c r="D882" s="5"/>
      <c r="F882" s="5"/>
      <c r="G882" s="5"/>
    </row>
    <row r="883" spans="2:7" ht="15.75" customHeight="1">
      <c r="B883" s="39"/>
      <c r="C883" s="39"/>
      <c r="D883" s="5"/>
      <c r="F883" s="5"/>
      <c r="G883" s="5"/>
    </row>
    <row r="884" spans="2:7" ht="15.75" customHeight="1">
      <c r="B884" s="39"/>
      <c r="C884" s="39"/>
      <c r="D884" s="5"/>
      <c r="F884" s="5"/>
      <c r="G884" s="5"/>
    </row>
    <row r="885" spans="2:7" ht="15.75" customHeight="1">
      <c r="B885" s="39"/>
      <c r="C885" s="39"/>
      <c r="D885" s="5"/>
      <c r="F885" s="5"/>
      <c r="G885" s="5"/>
    </row>
    <row r="886" spans="2:7" ht="15.75" customHeight="1">
      <c r="B886" s="39"/>
      <c r="C886" s="39"/>
      <c r="D886" s="5"/>
      <c r="F886" s="5"/>
      <c r="G886" s="5"/>
    </row>
    <row r="887" spans="2:7" ht="15.75" customHeight="1">
      <c r="B887" s="39"/>
      <c r="C887" s="39"/>
      <c r="D887" s="5"/>
      <c r="F887" s="5"/>
      <c r="G887" s="5"/>
    </row>
    <row r="888" spans="2:7" ht="15.75" customHeight="1">
      <c r="B888" s="39"/>
      <c r="C888" s="39"/>
      <c r="D888" s="5"/>
      <c r="F888" s="5"/>
      <c r="G888" s="5"/>
    </row>
    <row r="889" spans="2:7" ht="15.75" customHeight="1">
      <c r="B889" s="39"/>
      <c r="C889" s="39"/>
      <c r="D889" s="5"/>
      <c r="F889" s="5"/>
      <c r="G889" s="5"/>
    </row>
    <row r="890" spans="2:7" ht="15.75" customHeight="1">
      <c r="B890" s="39"/>
      <c r="C890" s="39"/>
      <c r="D890" s="5"/>
      <c r="F890" s="5"/>
      <c r="G890" s="5"/>
    </row>
    <row r="891" spans="2:7" ht="15.75" customHeight="1">
      <c r="B891" s="39"/>
      <c r="C891" s="39"/>
      <c r="D891" s="5"/>
      <c r="F891" s="5"/>
      <c r="G891" s="5"/>
    </row>
    <row r="892" spans="2:7" ht="15.75" customHeight="1">
      <c r="B892" s="39"/>
      <c r="C892" s="39"/>
      <c r="D892" s="5"/>
      <c r="F892" s="5"/>
      <c r="G892" s="5"/>
    </row>
    <row r="893" spans="2:7" ht="15.75" customHeight="1">
      <c r="B893" s="39"/>
      <c r="C893" s="39"/>
      <c r="D893" s="5"/>
      <c r="F893" s="5"/>
      <c r="G893" s="5"/>
    </row>
    <row r="894" spans="2:7" ht="15.75" customHeight="1">
      <c r="B894" s="39"/>
      <c r="C894" s="39"/>
      <c r="D894" s="5"/>
      <c r="F894" s="5"/>
      <c r="G894" s="5"/>
    </row>
    <row r="895" spans="2:7" ht="15.75" customHeight="1">
      <c r="B895" s="39"/>
      <c r="C895" s="39"/>
      <c r="D895" s="5"/>
      <c r="F895" s="5"/>
      <c r="G895" s="5"/>
    </row>
    <row r="896" spans="2:7" ht="15.75" customHeight="1">
      <c r="B896" s="39"/>
      <c r="C896" s="39"/>
      <c r="D896" s="5"/>
      <c r="F896" s="5"/>
      <c r="G896" s="5"/>
    </row>
    <row r="897" spans="2:7" ht="15.75" customHeight="1">
      <c r="B897" s="39"/>
      <c r="C897" s="39"/>
      <c r="D897" s="5"/>
      <c r="F897" s="5"/>
      <c r="G897" s="5"/>
    </row>
    <row r="898" spans="2:7" ht="15.75" customHeight="1">
      <c r="B898" s="39"/>
      <c r="C898" s="39"/>
      <c r="D898" s="5"/>
      <c r="F898" s="5"/>
      <c r="G898" s="5"/>
    </row>
    <row r="899" spans="2:7" ht="15.75" customHeight="1">
      <c r="B899" s="39"/>
      <c r="C899" s="39"/>
      <c r="D899" s="5"/>
      <c r="F899" s="5"/>
      <c r="G899" s="5"/>
    </row>
    <row r="900" spans="2:7" ht="15.75" customHeight="1">
      <c r="B900" s="39"/>
      <c r="C900" s="39"/>
      <c r="D900" s="5"/>
      <c r="F900" s="5"/>
      <c r="G900" s="5"/>
    </row>
    <row r="901" spans="2:7" ht="15.75" customHeight="1">
      <c r="B901" s="39"/>
      <c r="C901" s="39"/>
      <c r="D901" s="5"/>
      <c r="F901" s="5"/>
      <c r="G901" s="5"/>
    </row>
    <row r="902" spans="2:7" ht="15.75" customHeight="1">
      <c r="B902" s="39"/>
      <c r="C902" s="39"/>
      <c r="D902" s="5"/>
      <c r="F902" s="5"/>
      <c r="G902" s="5"/>
    </row>
    <row r="903" spans="2:7" ht="15.75" customHeight="1">
      <c r="B903" s="39"/>
      <c r="C903" s="39"/>
      <c r="D903" s="5"/>
      <c r="F903" s="5"/>
      <c r="G903" s="5"/>
    </row>
    <row r="904" spans="2:7" ht="15.75" customHeight="1">
      <c r="B904" s="39"/>
      <c r="C904" s="39"/>
      <c r="D904" s="5"/>
      <c r="F904" s="5"/>
      <c r="G904" s="5"/>
    </row>
    <row r="905" spans="2:7" ht="15.75" customHeight="1">
      <c r="B905" s="39"/>
      <c r="C905" s="39"/>
      <c r="D905" s="5"/>
      <c r="F905" s="5"/>
      <c r="G905" s="5"/>
    </row>
    <row r="906" spans="2:7" ht="15.75" customHeight="1">
      <c r="B906" s="39"/>
      <c r="C906" s="39"/>
      <c r="D906" s="5"/>
      <c r="F906" s="5"/>
      <c r="G906" s="5"/>
    </row>
    <row r="907" spans="2:7" ht="15.75" customHeight="1">
      <c r="B907" s="39"/>
      <c r="C907" s="39"/>
      <c r="D907" s="5"/>
      <c r="F907" s="5"/>
      <c r="G907" s="5"/>
    </row>
    <row r="908" spans="2:7" ht="15.75" customHeight="1">
      <c r="B908" s="39"/>
      <c r="C908" s="39"/>
      <c r="D908" s="5"/>
      <c r="F908" s="5"/>
      <c r="G908" s="5"/>
    </row>
    <row r="909" spans="2:7" ht="15.75" customHeight="1">
      <c r="B909" s="39"/>
      <c r="C909" s="39"/>
      <c r="D909" s="5"/>
      <c r="F909" s="5"/>
      <c r="G909" s="5"/>
    </row>
    <row r="910" spans="2:7" ht="15.75" customHeight="1">
      <c r="B910" s="39"/>
      <c r="C910" s="39"/>
      <c r="D910" s="5"/>
      <c r="F910" s="5"/>
      <c r="G910" s="5"/>
    </row>
    <row r="911" spans="2:7" ht="15.75" customHeight="1">
      <c r="B911" s="39"/>
      <c r="C911" s="39"/>
      <c r="D911" s="5"/>
      <c r="F911" s="5"/>
      <c r="G911" s="5"/>
    </row>
    <row r="912" spans="2:7" ht="15.75" customHeight="1">
      <c r="B912" s="39"/>
      <c r="C912" s="39"/>
      <c r="D912" s="5"/>
      <c r="F912" s="5"/>
      <c r="G912" s="5"/>
    </row>
    <row r="913" spans="2:7" ht="15.75" customHeight="1">
      <c r="B913" s="39"/>
      <c r="C913" s="39"/>
      <c r="D913" s="5"/>
      <c r="F913" s="5"/>
      <c r="G913" s="5"/>
    </row>
    <row r="914" spans="2:7" ht="15.75" customHeight="1">
      <c r="B914" s="39"/>
      <c r="C914" s="39"/>
      <c r="D914" s="5"/>
      <c r="F914" s="5"/>
      <c r="G914" s="5"/>
    </row>
    <row r="915" spans="2:7" ht="15.75" customHeight="1">
      <c r="B915" s="39"/>
      <c r="C915" s="39"/>
      <c r="D915" s="5"/>
      <c r="F915" s="5"/>
      <c r="G915" s="5"/>
    </row>
    <row r="916" spans="2:7" ht="15.75" customHeight="1">
      <c r="B916" s="39"/>
      <c r="C916" s="39"/>
      <c r="D916" s="5"/>
      <c r="F916" s="5"/>
      <c r="G916" s="5"/>
    </row>
    <row r="917" spans="2:7" ht="15.75" customHeight="1">
      <c r="B917" s="39"/>
      <c r="C917" s="39"/>
      <c r="D917" s="5"/>
      <c r="F917" s="5"/>
      <c r="G917" s="5"/>
    </row>
    <row r="918" spans="2:7" ht="15.75" customHeight="1">
      <c r="B918" s="39"/>
      <c r="C918" s="39"/>
      <c r="D918" s="5"/>
      <c r="F918" s="5"/>
      <c r="G918" s="5"/>
    </row>
    <row r="919" spans="2:7" ht="15.75" customHeight="1">
      <c r="B919" s="39"/>
      <c r="C919" s="39"/>
      <c r="D919" s="5"/>
      <c r="F919" s="5"/>
      <c r="G919" s="5"/>
    </row>
    <row r="920" spans="2:7" ht="15.75" customHeight="1">
      <c r="B920" s="39"/>
      <c r="C920" s="39"/>
      <c r="D920" s="5"/>
      <c r="F920" s="5"/>
      <c r="G920" s="5"/>
    </row>
    <row r="921" spans="2:7" ht="15.75" customHeight="1">
      <c r="B921" s="39"/>
      <c r="C921" s="39"/>
      <c r="D921" s="5"/>
      <c r="F921" s="5"/>
      <c r="G921" s="5"/>
    </row>
    <row r="922" spans="2:7" ht="15.75" customHeight="1">
      <c r="B922" s="39"/>
      <c r="C922" s="39"/>
      <c r="D922" s="5"/>
      <c r="F922" s="5"/>
      <c r="G922" s="5"/>
    </row>
    <row r="923" spans="2:7" ht="15.75" customHeight="1">
      <c r="B923" s="39"/>
      <c r="C923" s="39"/>
      <c r="D923" s="5"/>
      <c r="F923" s="5"/>
      <c r="G923" s="5"/>
    </row>
    <row r="924" spans="2:7" ht="15.75" customHeight="1">
      <c r="B924" s="39"/>
      <c r="C924" s="39"/>
      <c r="D924" s="5"/>
      <c r="F924" s="5"/>
      <c r="G924" s="5"/>
    </row>
    <row r="925" spans="2:7" ht="15.75" customHeight="1">
      <c r="B925" s="39"/>
      <c r="C925" s="39"/>
      <c r="D925" s="5"/>
      <c r="F925" s="5"/>
      <c r="G925" s="5"/>
    </row>
    <row r="926" spans="2:7" ht="15.75" customHeight="1">
      <c r="B926" s="39"/>
      <c r="C926" s="39"/>
      <c r="D926" s="5"/>
      <c r="F926" s="5"/>
      <c r="G926" s="5"/>
    </row>
    <row r="927" spans="2:7" ht="15.75" customHeight="1">
      <c r="B927" s="39"/>
      <c r="C927" s="39"/>
      <c r="D927" s="5"/>
      <c r="F927" s="5"/>
      <c r="G927" s="5"/>
    </row>
    <row r="928" spans="2:7" ht="15.75" customHeight="1">
      <c r="B928" s="39"/>
      <c r="C928" s="39"/>
      <c r="D928" s="5"/>
      <c r="F928" s="5"/>
      <c r="G928" s="5"/>
    </row>
    <row r="929" spans="2:7" ht="15.75" customHeight="1">
      <c r="B929" s="39"/>
      <c r="C929" s="39"/>
      <c r="D929" s="5"/>
      <c r="F929" s="5"/>
      <c r="G929" s="5"/>
    </row>
    <row r="930" spans="2:7" ht="15.75" customHeight="1">
      <c r="B930" s="39"/>
      <c r="C930" s="39"/>
      <c r="D930" s="5"/>
      <c r="F930" s="5"/>
      <c r="G930" s="5"/>
    </row>
    <row r="931" spans="2:7" ht="15.75" customHeight="1">
      <c r="B931" s="39"/>
      <c r="C931" s="39"/>
      <c r="D931" s="5"/>
      <c r="F931" s="5"/>
      <c r="G931" s="5"/>
    </row>
    <row r="932" spans="2:7" ht="15.75" customHeight="1">
      <c r="B932" s="39"/>
      <c r="C932" s="39"/>
      <c r="D932" s="5"/>
      <c r="F932" s="5"/>
      <c r="G932" s="5"/>
    </row>
    <row r="933" spans="2:7" ht="15.75" customHeight="1">
      <c r="B933" s="39"/>
      <c r="C933" s="39"/>
      <c r="D933" s="5"/>
      <c r="F933" s="5"/>
      <c r="G933" s="5"/>
    </row>
    <row r="934" spans="2:7" ht="15.75" customHeight="1">
      <c r="B934" s="39"/>
      <c r="C934" s="39"/>
      <c r="D934" s="5"/>
      <c r="F934" s="5"/>
      <c r="G934" s="5"/>
    </row>
    <row r="935" spans="2:7" ht="15.75" customHeight="1">
      <c r="B935" s="39"/>
      <c r="C935" s="39"/>
      <c r="D935" s="5"/>
      <c r="F935" s="5"/>
      <c r="G935" s="5"/>
    </row>
    <row r="936" spans="2:7" ht="15.75" customHeight="1">
      <c r="B936" s="39"/>
      <c r="C936" s="39"/>
      <c r="D936" s="5"/>
      <c r="F936" s="5"/>
      <c r="G936" s="5"/>
    </row>
    <row r="937" spans="2:7" ht="15.75" customHeight="1">
      <c r="B937" s="39"/>
      <c r="C937" s="39"/>
      <c r="D937" s="5"/>
      <c r="F937" s="5"/>
      <c r="G937" s="5"/>
    </row>
    <row r="938" spans="2:7" ht="15.75" customHeight="1">
      <c r="B938" s="39"/>
      <c r="C938" s="39"/>
      <c r="D938" s="5"/>
      <c r="F938" s="5"/>
      <c r="G938" s="5"/>
    </row>
    <row r="939" spans="2:7" ht="15.75" customHeight="1">
      <c r="B939" s="39"/>
      <c r="C939" s="39"/>
      <c r="D939" s="5"/>
      <c r="F939" s="5"/>
      <c r="G939" s="5"/>
    </row>
    <row r="940" spans="2:7" ht="15.75" customHeight="1">
      <c r="B940" s="39"/>
      <c r="C940" s="39"/>
      <c r="D940" s="5"/>
      <c r="F940" s="5"/>
      <c r="G940" s="5"/>
    </row>
    <row r="941" spans="2:7" ht="15.75" customHeight="1">
      <c r="B941" s="39"/>
      <c r="C941" s="39"/>
      <c r="D941" s="5"/>
      <c r="F941" s="5"/>
      <c r="G941" s="5"/>
    </row>
    <row r="942" spans="2:7" ht="15.75" customHeight="1">
      <c r="B942" s="39"/>
      <c r="C942" s="39"/>
      <c r="D942" s="5"/>
      <c r="F942" s="5"/>
      <c r="G942" s="5"/>
    </row>
    <row r="943" spans="2:7" ht="15.75" customHeight="1">
      <c r="B943" s="39"/>
      <c r="C943" s="39"/>
      <c r="D943" s="5"/>
      <c r="F943" s="5"/>
      <c r="G943" s="5"/>
    </row>
    <row r="944" spans="2:7" ht="15.75" customHeight="1">
      <c r="B944" s="39"/>
      <c r="C944" s="39"/>
      <c r="D944" s="5"/>
      <c r="F944" s="5"/>
      <c r="G944" s="5"/>
    </row>
    <row r="945" spans="2:7" ht="15.75" customHeight="1">
      <c r="B945" s="39"/>
      <c r="C945" s="39"/>
      <c r="D945" s="5"/>
      <c r="F945" s="5"/>
      <c r="G945" s="5"/>
    </row>
    <row r="946" spans="2:7" ht="15.75" customHeight="1">
      <c r="B946" s="39"/>
      <c r="C946" s="39"/>
      <c r="D946" s="5"/>
      <c r="F946" s="5"/>
      <c r="G946" s="5"/>
    </row>
    <row r="947" spans="2:7" ht="15.75" customHeight="1">
      <c r="B947" s="39"/>
      <c r="C947" s="39"/>
      <c r="D947" s="5"/>
      <c r="F947" s="5"/>
      <c r="G947" s="5"/>
    </row>
    <row r="948" spans="2:7" ht="15.75" customHeight="1">
      <c r="B948" s="39"/>
      <c r="C948" s="39"/>
      <c r="D948" s="5"/>
      <c r="F948" s="5"/>
      <c r="G948" s="5"/>
    </row>
    <row r="949" spans="2:7" ht="15.75" customHeight="1">
      <c r="B949" s="39"/>
      <c r="C949" s="39"/>
      <c r="D949" s="5"/>
      <c r="F949" s="5"/>
      <c r="G949" s="5"/>
    </row>
    <row r="950" spans="2:7" ht="15.75" customHeight="1">
      <c r="B950" s="39"/>
      <c r="C950" s="39"/>
      <c r="D950" s="5"/>
      <c r="F950" s="5"/>
      <c r="G950" s="5"/>
    </row>
    <row r="951" spans="2:7" ht="15.75" customHeight="1">
      <c r="B951" s="39"/>
      <c r="C951" s="39"/>
      <c r="D951" s="5"/>
      <c r="F951" s="5"/>
      <c r="G951" s="5"/>
    </row>
    <row r="952" spans="2:7" ht="15.75" customHeight="1">
      <c r="B952" s="39"/>
      <c r="C952" s="39"/>
      <c r="D952" s="5"/>
      <c r="F952" s="5"/>
      <c r="G952" s="5"/>
    </row>
    <row r="953" spans="2:7" ht="15.75" customHeight="1">
      <c r="B953" s="39"/>
      <c r="C953" s="39"/>
      <c r="D953" s="5"/>
      <c r="F953" s="5"/>
      <c r="G953" s="5"/>
    </row>
    <row r="954" spans="2:7" ht="15.75" customHeight="1">
      <c r="B954" s="39"/>
      <c r="C954" s="39"/>
      <c r="D954" s="5"/>
      <c r="F954" s="5"/>
      <c r="G954" s="5"/>
    </row>
    <row r="955" spans="2:7" ht="15.75" customHeight="1">
      <c r="B955" s="39"/>
      <c r="C955" s="39"/>
      <c r="D955" s="5"/>
      <c r="F955" s="5"/>
      <c r="G955" s="5"/>
    </row>
    <row r="956" spans="2:7" ht="15.75" customHeight="1">
      <c r="B956" s="39"/>
      <c r="C956" s="39"/>
      <c r="D956" s="5"/>
      <c r="F956" s="5"/>
      <c r="G956" s="5"/>
    </row>
    <row r="957" spans="2:7" ht="15.75" customHeight="1">
      <c r="B957" s="39"/>
      <c r="C957" s="39"/>
      <c r="D957" s="5"/>
      <c r="F957" s="5"/>
      <c r="G957" s="5"/>
    </row>
    <row r="958" spans="2:7" ht="15.75" customHeight="1">
      <c r="B958" s="39"/>
      <c r="C958" s="39"/>
      <c r="D958" s="5"/>
      <c r="F958" s="5"/>
      <c r="G958" s="5"/>
    </row>
    <row r="959" spans="2:7" ht="15.75" customHeight="1">
      <c r="B959" s="39"/>
      <c r="C959" s="39"/>
      <c r="D959" s="5"/>
      <c r="F959" s="5"/>
      <c r="G959" s="5"/>
    </row>
    <row r="960" spans="2:7" ht="15.75" customHeight="1">
      <c r="B960" s="39"/>
      <c r="C960" s="39"/>
      <c r="D960" s="5"/>
      <c r="F960" s="5"/>
      <c r="G960" s="5"/>
    </row>
    <row r="961" spans="2:7" ht="15.75" customHeight="1">
      <c r="B961" s="39"/>
      <c r="C961" s="39"/>
      <c r="D961" s="5"/>
      <c r="F961" s="5"/>
      <c r="G961" s="5"/>
    </row>
    <row r="962" spans="2:7" ht="15.75" customHeight="1">
      <c r="B962" s="39"/>
      <c r="C962" s="39"/>
      <c r="D962" s="5"/>
      <c r="F962" s="5"/>
      <c r="G962" s="5"/>
    </row>
    <row r="963" spans="2:7" ht="15.75" customHeight="1">
      <c r="B963" s="39"/>
      <c r="C963" s="39"/>
      <c r="D963" s="5"/>
      <c r="F963" s="5"/>
      <c r="G963" s="5"/>
    </row>
    <row r="964" spans="2:7" ht="15.75" customHeight="1">
      <c r="B964" s="39"/>
      <c r="C964" s="39"/>
      <c r="D964" s="5"/>
      <c r="F964" s="5"/>
      <c r="G964" s="5"/>
    </row>
    <row r="965" spans="2:7" ht="15.75" customHeight="1">
      <c r="B965" s="39"/>
      <c r="C965" s="39"/>
      <c r="D965" s="5"/>
      <c r="F965" s="5"/>
      <c r="G965" s="5"/>
    </row>
    <row r="966" spans="2:7" ht="15.75" customHeight="1">
      <c r="B966" s="39"/>
      <c r="C966" s="39"/>
      <c r="D966" s="5"/>
      <c r="F966" s="5"/>
      <c r="G966" s="5"/>
    </row>
    <row r="967" spans="2:7" ht="15.75" customHeight="1">
      <c r="B967" s="39"/>
      <c r="C967" s="39"/>
      <c r="D967" s="5"/>
      <c r="F967" s="5"/>
      <c r="G967" s="5"/>
    </row>
    <row r="968" spans="2:7" ht="15.75" customHeight="1">
      <c r="B968" s="39"/>
      <c r="C968" s="39"/>
      <c r="D968" s="5"/>
      <c r="F968" s="5"/>
      <c r="G968" s="5"/>
    </row>
    <row r="969" spans="2:7" ht="15.75" customHeight="1">
      <c r="B969" s="39"/>
      <c r="C969" s="39"/>
      <c r="D969" s="5"/>
      <c r="F969" s="5"/>
      <c r="G969" s="5"/>
    </row>
    <row r="970" spans="2:7" ht="15.75" customHeight="1">
      <c r="B970" s="39"/>
      <c r="C970" s="39"/>
      <c r="D970" s="5"/>
      <c r="F970" s="5"/>
      <c r="G970" s="5"/>
    </row>
    <row r="971" spans="2:7" ht="15.75" customHeight="1">
      <c r="B971" s="39"/>
      <c r="C971" s="39"/>
      <c r="D971" s="5"/>
      <c r="F971" s="5"/>
      <c r="G971" s="5"/>
    </row>
    <row r="972" spans="2:7" ht="15.75" customHeight="1">
      <c r="B972" s="39"/>
      <c r="C972" s="39"/>
      <c r="D972" s="5"/>
      <c r="F972" s="5"/>
      <c r="G972" s="5"/>
    </row>
    <row r="973" spans="2:7" ht="15.75" customHeight="1">
      <c r="B973" s="39"/>
      <c r="C973" s="39"/>
      <c r="D973" s="5"/>
      <c r="F973" s="5"/>
      <c r="G973" s="5"/>
    </row>
    <row r="974" spans="2:7" ht="15.75" customHeight="1">
      <c r="B974" s="39"/>
      <c r="C974" s="39"/>
      <c r="D974" s="5"/>
      <c r="F974" s="5"/>
      <c r="G974" s="5"/>
    </row>
    <row r="975" spans="2:7" ht="15.75" customHeight="1">
      <c r="B975" s="39"/>
      <c r="C975" s="39"/>
      <c r="D975" s="5"/>
      <c r="F975" s="5"/>
      <c r="G975" s="5"/>
    </row>
    <row r="976" spans="2:7" ht="15.75" customHeight="1">
      <c r="B976" s="39"/>
      <c r="C976" s="39"/>
      <c r="D976" s="5"/>
      <c r="F976" s="5"/>
      <c r="G976" s="5"/>
    </row>
    <row r="977" spans="2:7" ht="15.75" customHeight="1">
      <c r="B977" s="39"/>
      <c r="C977" s="39"/>
      <c r="D977" s="5"/>
      <c r="F977" s="5"/>
      <c r="G977" s="5"/>
    </row>
    <row r="978" spans="2:7" ht="15.75" customHeight="1">
      <c r="B978" s="39"/>
      <c r="C978" s="39"/>
      <c r="D978" s="5"/>
      <c r="F978" s="5"/>
      <c r="G978" s="5"/>
    </row>
    <row r="979" spans="2:7" ht="15.75" customHeight="1">
      <c r="B979" s="39"/>
      <c r="C979" s="39"/>
      <c r="D979" s="5"/>
      <c r="F979" s="5"/>
      <c r="G979" s="5"/>
    </row>
    <row r="980" spans="2:7" ht="15.75" customHeight="1">
      <c r="B980" s="39"/>
      <c r="C980" s="39"/>
      <c r="D980" s="5"/>
      <c r="F980" s="5"/>
      <c r="G980" s="5"/>
    </row>
    <row r="981" spans="2:7" ht="15.75" customHeight="1">
      <c r="B981" s="39"/>
      <c r="C981" s="39"/>
      <c r="D981" s="5"/>
      <c r="F981" s="5"/>
      <c r="G981" s="5"/>
    </row>
    <row r="982" spans="2:7" ht="15.75" customHeight="1">
      <c r="B982" s="39"/>
      <c r="C982" s="39"/>
      <c r="D982" s="5"/>
      <c r="F982" s="5"/>
      <c r="G982" s="5"/>
    </row>
    <row r="983" spans="2:7" ht="15.75" customHeight="1">
      <c r="B983" s="39"/>
      <c r="C983" s="39"/>
      <c r="D983" s="5"/>
      <c r="F983" s="5"/>
      <c r="G983" s="5"/>
    </row>
    <row r="984" spans="2:7" ht="15.75" customHeight="1">
      <c r="B984" s="39"/>
      <c r="C984" s="39"/>
      <c r="D984" s="5"/>
      <c r="F984" s="5"/>
      <c r="G984" s="5"/>
    </row>
    <row r="985" spans="2:7" ht="15.75" customHeight="1">
      <c r="B985" s="39"/>
      <c r="C985" s="39"/>
      <c r="D985" s="5"/>
      <c r="F985" s="5"/>
      <c r="G985" s="5"/>
    </row>
    <row r="986" spans="2:7" ht="15.75" customHeight="1">
      <c r="B986" s="39"/>
      <c r="C986" s="39"/>
      <c r="D986" s="5"/>
      <c r="F986" s="5"/>
      <c r="G986" s="5"/>
    </row>
    <row r="987" spans="2:7" ht="15.75" customHeight="1">
      <c r="B987" s="39"/>
      <c r="C987" s="39"/>
      <c r="D987" s="5"/>
      <c r="F987" s="5"/>
      <c r="G987" s="5"/>
    </row>
    <row r="988" spans="2:7" ht="15.75" customHeight="1">
      <c r="B988" s="39"/>
      <c r="C988" s="39"/>
      <c r="D988" s="5"/>
      <c r="F988" s="5"/>
      <c r="G988" s="5"/>
    </row>
    <row r="989" spans="2:7" ht="15.75" customHeight="1">
      <c r="B989" s="39"/>
      <c r="C989" s="39"/>
      <c r="D989" s="5"/>
      <c r="F989" s="5"/>
      <c r="G989" s="5"/>
    </row>
    <row r="990" spans="2:7" ht="15.75" customHeight="1">
      <c r="B990" s="39"/>
      <c r="C990" s="39"/>
      <c r="D990" s="5"/>
      <c r="F990" s="5"/>
      <c r="G990" s="5"/>
    </row>
    <row r="991" spans="2:7" ht="15.75" customHeight="1">
      <c r="B991" s="39"/>
      <c r="C991" s="39"/>
      <c r="D991" s="5"/>
      <c r="F991" s="5"/>
      <c r="G991" s="5"/>
    </row>
    <row r="992" spans="2:7" ht="15.75" customHeight="1">
      <c r="B992" s="39"/>
      <c r="C992" s="39"/>
      <c r="D992" s="5"/>
      <c r="F992" s="5"/>
      <c r="G992" s="5"/>
    </row>
    <row r="993" spans="2:7" ht="15.75" customHeight="1">
      <c r="B993" s="39"/>
      <c r="C993" s="39"/>
      <c r="D993" s="5"/>
      <c r="F993" s="5"/>
      <c r="G993" s="5"/>
    </row>
    <row r="994" spans="2:7" ht="15.75" customHeight="1">
      <c r="B994" s="39"/>
      <c r="C994" s="39"/>
      <c r="D994" s="5"/>
      <c r="F994" s="5"/>
      <c r="G994" s="5"/>
    </row>
    <row r="995" spans="2:7" ht="15.75" customHeight="1">
      <c r="B995" s="39"/>
      <c r="C995" s="39"/>
      <c r="D995" s="5"/>
      <c r="F995" s="5"/>
      <c r="G995" s="5"/>
    </row>
    <row r="996" spans="2:7" ht="15.75" customHeight="1">
      <c r="B996" s="39"/>
      <c r="C996" s="39"/>
      <c r="D996" s="5"/>
      <c r="F996" s="5"/>
      <c r="G996" s="5"/>
    </row>
    <row r="997" spans="2:7" ht="15.75" customHeight="1">
      <c r="B997" s="39"/>
      <c r="C997" s="39"/>
      <c r="D997" s="5"/>
      <c r="F997" s="5"/>
      <c r="G997" s="5"/>
    </row>
    <row r="998" spans="2:7" ht="15.75" customHeight="1">
      <c r="B998" s="39"/>
      <c r="C998" s="39"/>
      <c r="D998" s="5"/>
      <c r="F998" s="5"/>
      <c r="G998" s="5"/>
    </row>
    <row r="999" spans="2:7" ht="15.75" customHeight="1">
      <c r="B999" s="39"/>
      <c r="C999" s="39"/>
      <c r="D999" s="5"/>
      <c r="F999" s="5"/>
      <c r="G999" s="5"/>
    </row>
    <row r="1000" spans="2:7" ht="15.75" customHeight="1">
      <c r="B1000" s="39"/>
      <c r="C1000" s="39"/>
      <c r="D1000" s="5"/>
      <c r="F1000" s="5"/>
      <c r="G1000" s="5"/>
    </row>
  </sheetData>
  <customSheetViews>
    <customSheetView guid="{AD1468C3-B0F0-4783-9150-53FFC51E461D}" filter="1" showAutoFilter="1">
      <pageMargins left="0.7" right="0.7" top="0.75" bottom="0.75" header="0.3" footer="0.3"/>
      <autoFilter ref="A2:A62" xr:uid="{C9BCCAD2-F64F-5E4E-8A33-30FD52F83DDF}"/>
    </customSheetView>
  </customSheetViews>
  <dataValidations count="1">
    <dataValidation type="custom" allowBlank="1" showDropDown="1" sqref="B2:D61 E2:E61 E62" xr:uid="{00000000-0002-0000-0000-000000000000}">
      <formula1>AND(ISNUMBER(B2),(NOT(OR(NOT(ISERROR(DATEVALUE(B2))), AND(ISNUMBER(B2), LEFT(CELL("format", B2))="D")))))</formula1>
    </dataValidation>
  </dataValidations>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1002"/>
  <sheetViews>
    <sheetView workbookViewId="0">
      <selection activeCell="L14" sqref="L14"/>
    </sheetView>
  </sheetViews>
  <sheetFormatPr baseColWidth="10" defaultColWidth="14.5" defaultRowHeight="15" customHeight="1"/>
  <cols>
    <col min="1" max="3" width="8.6640625" customWidth="1"/>
    <col min="4" max="4" width="14.83203125" customWidth="1"/>
    <col min="5" max="11" width="8.6640625" customWidth="1"/>
    <col min="12" max="12" width="41.6640625" customWidth="1"/>
    <col min="13" max="13" width="31.33203125" customWidth="1"/>
    <col min="14" max="14" width="8.6640625" customWidth="1"/>
    <col min="15" max="15" width="18.5" customWidth="1"/>
    <col min="16" max="16" width="16.33203125" customWidth="1"/>
    <col min="17" max="17" width="8.6640625" customWidth="1"/>
    <col min="18" max="18" width="20.5" customWidth="1"/>
    <col min="19" max="25" width="8.6640625" customWidth="1"/>
  </cols>
  <sheetData>
    <row r="1" spans="1:18">
      <c r="A1" s="6" t="s">
        <v>70</v>
      </c>
      <c r="D1" s="7" t="s">
        <v>71</v>
      </c>
      <c r="L1" s="8" t="s">
        <v>72</v>
      </c>
      <c r="P1" s="9" t="s">
        <v>73</v>
      </c>
      <c r="R1" s="10" t="s">
        <v>74</v>
      </c>
    </row>
    <row r="2" spans="1:18">
      <c r="A2" s="11"/>
      <c r="D2" s="12"/>
      <c r="L2" s="13" t="s">
        <v>75</v>
      </c>
      <c r="M2" s="14" t="s">
        <v>76</v>
      </c>
      <c r="N2" s="15">
        <f>COUNTIF(L10:L63, "CAPM&gt;TradingviewAnalyst")</f>
        <v>14</v>
      </c>
      <c r="O2" s="16" t="s">
        <v>77</v>
      </c>
      <c r="P2" s="17">
        <f>SUMPRODUCT(Assets!H2:H61,Assets!I2:I61)</f>
        <v>3.161669904916023E-3</v>
      </c>
      <c r="R2" s="13">
        <f>SQRT(P2)</f>
        <v>5.6228728466114389E-2</v>
      </c>
    </row>
    <row r="3" spans="1:18" ht="16">
      <c r="A3" s="16" t="s">
        <v>78</v>
      </c>
      <c r="D3" s="18">
        <f>(SUMPRODUCT(Assets!B2:B61,Assets!E2:E61))*100</f>
        <v>37.172281475032428</v>
      </c>
      <c r="L3" s="19" t="str">
        <f>IF(Assets!B2&gt;Assets!G2, "TradingviewAnalyst&gt;CAPM", "CAPM&gt;TradingviewAnalyst")</f>
        <v>TradingviewAnalyst&gt;CAPM</v>
      </c>
    </row>
    <row r="4" spans="1:18" ht="16">
      <c r="A4" s="16" t="s">
        <v>79</v>
      </c>
      <c r="D4" s="20" t="e">
        <f>SQRT(R4)</f>
        <v>#REF!</v>
      </c>
      <c r="L4" s="19" t="str">
        <f>IF(Assets!B3&gt;Assets!G3, "TradingviewAnalyst&gt;CAPM", "CAPM&gt;TradingviewAnalyst")</f>
        <v>TradingviewAnalyst&gt;CAPM</v>
      </c>
      <c r="O4" s="13" t="s">
        <v>80</v>
      </c>
      <c r="P4" s="21" t="e">
        <f>P2+(2*F20*D17^2)*1891</f>
        <v>#REF!</v>
      </c>
      <c r="R4" s="22" t="e">
        <f>SQRT(P4)</f>
        <v>#REF!</v>
      </c>
    </row>
    <row r="5" spans="1:18" ht="16">
      <c r="A5" s="16" t="s">
        <v>81</v>
      </c>
      <c r="D5" s="23">
        <f>SUMPRODUCT(Assets!D2:D61,Assets!E2:E61)</f>
        <v>1.0309222112795104</v>
      </c>
      <c r="E5" s="24" t="s">
        <v>82</v>
      </c>
      <c r="L5" s="19" t="str">
        <f>IF(Assets!B4&gt;Assets!G4, "TradingviewAnalyst&gt;CAPM", "CAPM&gt;TradingviewAnalyst")</f>
        <v>TradingviewAnalyst&gt;CAPM</v>
      </c>
      <c r="M5" s="5"/>
    </row>
    <row r="6" spans="1:18" ht="16">
      <c r="A6" s="16" t="s">
        <v>83</v>
      </c>
      <c r="D6" s="20" t="e">
        <f>(D3/100 - 0.034) / D4</f>
        <v>#REF!</v>
      </c>
      <c r="E6" t="e" cm="1">
        <f t="array" ref="E6">(AVERAGE(Returns) - RiskFreeRate) / STDEV(Returns)</f>
        <v>#NAME?</v>
      </c>
      <c r="L6" s="19" t="str">
        <f>IF(Assets!B5&gt;Assets!G5, "TradingviewAnalyst&gt;CAPM", "CAPM&gt;TradingviewAnalyst")</f>
        <v>TradingviewAnalyst&gt;CAPM</v>
      </c>
      <c r="M6" s="5"/>
    </row>
    <row r="7" spans="1:18" ht="16">
      <c r="A7" s="16"/>
      <c r="D7" s="20"/>
      <c r="E7" s="13" t="s">
        <v>99</v>
      </c>
      <c r="L7" s="19" t="str">
        <f>IF(Assets!B6&gt;Assets!G6, "TradingviewAnalyst&gt;CAPM", "CAPM&gt;TradingviewAnalyst")</f>
        <v>TradingviewAnalyst&gt;CAPM</v>
      </c>
      <c r="M7" s="5"/>
    </row>
    <row r="8" spans="1:18" ht="16">
      <c r="A8" s="16"/>
      <c r="D8" s="20"/>
      <c r="L8" s="19" t="str">
        <f>IF(Assets!B7&gt;Assets!G7, "TradingviewAnalyst&gt;CAPM", "CAPM&gt;TradingviewAnalyst")</f>
        <v>TradingviewAnalyst&gt;CAPM</v>
      </c>
      <c r="M8" s="5"/>
    </row>
    <row r="9" spans="1:18" ht="16">
      <c r="A9" s="25" t="s">
        <v>84</v>
      </c>
      <c r="D9" s="26">
        <f>AVERAGE(Assets!B2:B61)</f>
        <v>0.5101152542372881</v>
      </c>
      <c r="G9" s="27"/>
      <c r="H9" s="28"/>
      <c r="I9" s="4"/>
      <c r="J9" s="4"/>
      <c r="L9" s="19" t="str">
        <f>IF(Assets!B8&gt;Assets!G8, "TradingviewAnalyst&gt;CAPM", "CAPM&gt;TradingviewAnalyst")</f>
        <v>TradingviewAnalyst&gt;CAPM</v>
      </c>
      <c r="M9" s="5"/>
    </row>
    <row r="10" spans="1:18" ht="16">
      <c r="A10" s="24" t="s">
        <v>85</v>
      </c>
      <c r="D10" s="29">
        <f>AVERAGE(Assets!C2:C61)</f>
        <v>0.30379111111111101</v>
      </c>
      <c r="G10" s="4"/>
      <c r="H10" s="4"/>
      <c r="I10" s="4"/>
      <c r="J10" s="4"/>
      <c r="L10" s="19" t="str">
        <f>IF(Assets!B9&gt;Assets!G9, "TradingviewAnalyst&gt;CAPM", "CAPM&gt;TradingviewAnalyst")</f>
        <v>CAPM&gt;TradingviewAnalyst</v>
      </c>
      <c r="M10" s="5"/>
    </row>
    <row r="11" spans="1:18" ht="16">
      <c r="A11" s="16" t="s">
        <v>86</v>
      </c>
      <c r="D11" s="30" t="e">
        <f>SUMPRODUCT(#REF!,#REF!)</f>
        <v>#REF!</v>
      </c>
      <c r="E11" s="4"/>
      <c r="F11" s="3"/>
      <c r="G11" s="4"/>
      <c r="H11" s="4"/>
      <c r="I11" s="4"/>
      <c r="J11" s="4"/>
      <c r="L11" s="19" t="str">
        <f>IF(Assets!B10&gt;Assets!G10, "TradingviewAnalyst&gt;CAPM", "CAPM&gt;TradingviewAnalyst")</f>
        <v>TradingviewAnalyst&gt;CAPM</v>
      </c>
      <c r="M11" s="5"/>
    </row>
    <row r="12" spans="1:18" ht="16">
      <c r="A12" s="16"/>
      <c r="D12" s="20"/>
      <c r="J12" s="4"/>
      <c r="L12" s="19" t="str">
        <f>IF(Assets!B11&gt;Assets!G11, "TradingviewAnalyst&gt;CAPM", "CAPM&gt;TradingviewAnalyst")</f>
        <v>TradingviewAnalyst&gt;CAPM</v>
      </c>
      <c r="M12" s="5"/>
    </row>
    <row r="13" spans="1:18" ht="16">
      <c r="A13" s="16"/>
      <c r="C13" s="3"/>
      <c r="D13" s="29"/>
      <c r="E13" s="4"/>
      <c r="F13" s="3"/>
      <c r="G13" s="4"/>
      <c r="H13" s="4"/>
      <c r="I13" s="4"/>
      <c r="J13" s="4"/>
      <c r="L13" s="19" t="str">
        <f>IF(Assets!B12&gt;Assets!G12, "TradingviewAnalyst&gt;CAPM", "CAPM&gt;TradingviewAnalyst")</f>
        <v>TradingviewAnalyst&gt;CAPM</v>
      </c>
      <c r="M13" s="5"/>
    </row>
    <row r="14" spans="1:18" ht="16">
      <c r="A14" s="16"/>
      <c r="B14" s="3"/>
      <c r="C14" s="3"/>
      <c r="D14" s="29"/>
      <c r="E14" s="4"/>
      <c r="F14" s="3"/>
      <c r="G14" s="4"/>
      <c r="J14" s="4"/>
      <c r="L14" s="19" t="str">
        <f>IF(Assets!B13&gt;Assets!G13, "TradingviewAnalyst&gt;CAPM", "CAPM&gt;TradingviewAnalyst")</f>
        <v>CAPM&gt;TradingviewAnalyst</v>
      </c>
      <c r="M14" s="5"/>
    </row>
    <row r="15" spans="1:18" ht="16">
      <c r="D15" s="26"/>
      <c r="E15" s="4"/>
      <c r="F15" s="3"/>
      <c r="G15" s="4"/>
      <c r="J15" s="20"/>
      <c r="L15" s="19" t="str">
        <f>IF(Assets!B14&gt;Assets!G14, "TradingviewAnalyst&gt;CAPM", "CAPM&gt;TradingviewAnalyst")</f>
        <v>CAPM&gt;TradingviewAnalyst</v>
      </c>
      <c r="M15" s="5"/>
    </row>
    <row r="16" spans="1:18" ht="16">
      <c r="A16" s="31" t="s">
        <v>87</v>
      </c>
      <c r="D16" s="18" t="e">
        <f>(0.034+D11*(0.085-0.034))*100</f>
        <v>#REF!</v>
      </c>
      <c r="L16" s="19" t="str">
        <f>IF(Assets!B15&gt;Assets!G15, "TradingviewAnalyst&gt;CAPM", "CAPM&gt;TradingviewAnalyst")</f>
        <v>TradingviewAnalyst&gt;CAPM</v>
      </c>
      <c r="M16" s="5"/>
    </row>
    <row r="17" spans="1:13" ht="16">
      <c r="A17" s="26" t="s">
        <v>88</v>
      </c>
      <c r="D17" s="32">
        <f>AVERAGE(Assets!E2:E62)</f>
        <v>1.6484164537200065E-2</v>
      </c>
      <c r="L17" s="19" t="str">
        <f>IF(Assets!B16&gt;Assets!G16, "TradingviewAnalyst&gt;CAPM", "CAPM&gt;TradingviewAnalyst")</f>
        <v>CAPM&gt;TradingviewAnalyst</v>
      </c>
      <c r="M17" s="5"/>
    </row>
    <row r="18" spans="1:13" ht="16">
      <c r="A18" s="26" t="s">
        <v>89</v>
      </c>
      <c r="D18" s="29">
        <f>AVERAGE(Assets!F2:F61)</f>
        <v>262.64733333333328</v>
      </c>
      <c r="L18" s="19" t="str">
        <f>IF(Assets!B17&gt;Assets!G17, "TradingviewAnalyst&gt;CAPM", "CAPM&gt;TradingviewAnalyst")</f>
        <v>CAPM&gt;TradingviewAnalyst</v>
      </c>
      <c r="M18" s="5"/>
    </row>
    <row r="19" spans="1:13" ht="16">
      <c r="A19" s="26" t="s">
        <v>90</v>
      </c>
      <c r="D19" s="1">
        <f>AVERAGE(Assets!D2:D61)</f>
        <v>1.0337611111111111</v>
      </c>
      <c r="L19" s="19" t="str">
        <f>IF(Assets!B18&gt;Assets!G18, "TradingviewAnalyst&gt;CAPM", "CAPM&gt;TradingviewAnalyst")</f>
        <v>CAPM&gt;TradingviewAnalyst</v>
      </c>
      <c r="M19" s="5"/>
    </row>
    <row r="20" spans="1:13" ht="16">
      <c r="A20" s="26" t="s">
        <v>91</v>
      </c>
      <c r="D20" s="20"/>
      <c r="F20" s="26" t="e">
        <f>0.3 * D11^2</f>
        <v>#REF!</v>
      </c>
      <c r="L20" s="19" t="str">
        <f>IF(Assets!B19&gt;Assets!G19, "TradingviewAnalyst&gt;CAPM", "CAPM&gt;TradingviewAnalyst")</f>
        <v>CAPM&gt;TradingviewAnalyst</v>
      </c>
      <c r="M20" s="5"/>
    </row>
    <row r="21" spans="1:13" ht="16">
      <c r="A21" s="26" t="s">
        <v>92</v>
      </c>
      <c r="D21" s="20"/>
      <c r="L21" s="19" t="str">
        <f>IF(Assets!B20&gt;Assets!G20, "TradingviewAnalyst&gt;CAPM", "CAPM&gt;TradingviewAnalyst")</f>
        <v>CAPM&gt;TradingviewAnalyst</v>
      </c>
      <c r="M21" s="5"/>
    </row>
    <row r="22" spans="1:13" ht="15.75" customHeight="1">
      <c r="A22" s="26" t="s">
        <v>93</v>
      </c>
      <c r="D22" s="29">
        <f>SUM(Assets!F2:F62)</f>
        <v>15846.049999999997</v>
      </c>
      <c r="L22" s="19" t="str">
        <f>IF(Assets!B21&gt;Assets!G21, "TradingviewAnalyst&gt;CAPM", "CAPM&gt;TradingviewAnalyst")</f>
        <v>CAPM&gt;TradingviewAnalyst</v>
      </c>
      <c r="M22" s="5"/>
    </row>
    <row r="23" spans="1:13" ht="15.75" customHeight="1">
      <c r="A23" s="26" t="s">
        <v>94</v>
      </c>
      <c r="D23" s="33">
        <v>17334.57</v>
      </c>
      <c r="L23" s="19" t="str">
        <f>IF(Assets!B22&gt;Assets!G22, "TradingviewAnalyst&gt;CAPM", "CAPM&gt;TradingviewAnalyst")</f>
        <v>CAPM&gt;TradingviewAnalyst</v>
      </c>
      <c r="M23" s="5"/>
    </row>
    <row r="24" spans="1:13" ht="15.75" customHeight="1">
      <c r="A24" s="26" t="s">
        <v>95</v>
      </c>
      <c r="D24" s="34">
        <f>((D23/D22)-1)*100</f>
        <v>9.3936343757592624</v>
      </c>
      <c r="L24" s="19" t="str">
        <f>IF(Assets!B23&gt;Assets!G23, "TradingviewAnalyst&gt;CAPM", "CAPM&gt;TradingviewAnalyst")</f>
        <v>TradingviewAnalyst&gt;CAPM</v>
      </c>
      <c r="M24" s="5"/>
    </row>
    <row r="25" spans="1:13" ht="15.75" customHeight="1">
      <c r="A25" s="26" t="s">
        <v>96</v>
      </c>
      <c r="H25" s="20">
        <f>((D23/(13000*1.062))-1)*100</f>
        <v>25.558235549760976</v>
      </c>
      <c r="L25" s="19" t="str">
        <f>IF(Assets!B24&gt;Assets!G24, "TradingviewAnalyst&gt;CAPM", "CAPM&gt;TradingviewAnalyst")</f>
        <v>TradingviewAnalyst&gt;CAPM</v>
      </c>
      <c r="M25" s="5"/>
    </row>
    <row r="26" spans="1:13" ht="15.75" customHeight="1">
      <c r="A26" s="26" t="s">
        <v>97</v>
      </c>
      <c r="F26" s="20">
        <f>((1+H25/100)^(1/(2+2/3))-1)*100</f>
        <v>8.909797739704306</v>
      </c>
      <c r="L26" s="19" t="str">
        <f>IF(Assets!B25&gt;Assets!G25, "TradingviewAnalyst&gt;CAPM", "CAPM&gt;TradingviewAnalyst")</f>
        <v>TradingviewAnalyst&gt;CAPM</v>
      </c>
      <c r="M26" s="5"/>
    </row>
    <row r="27" spans="1:13" ht="15.75" customHeight="1">
      <c r="A27" s="16"/>
      <c r="L27" s="19" t="str">
        <f>IF(Assets!B26&gt;Assets!G26, "TradingviewAnalyst&gt;CAPM", "CAPM&gt;TradingviewAnalyst")</f>
        <v>TradingviewAnalyst&gt;CAPM</v>
      </c>
      <c r="M27" s="5"/>
    </row>
    <row r="28" spans="1:13" ht="15.75" customHeight="1">
      <c r="A28" s="35" t="s">
        <v>98</v>
      </c>
      <c r="B28" s="35"/>
      <c r="C28" s="35"/>
      <c r="D28" s="35"/>
      <c r="E28" s="35"/>
      <c r="F28" s="35"/>
      <c r="L28" s="19" t="str">
        <f>IF(Assets!B27&gt;Assets!G27, "TradingviewAnalyst&gt;CAPM", "CAPM&gt;TradingviewAnalyst")</f>
        <v>TradingviewAnalyst&gt;CAPM</v>
      </c>
      <c r="M28" s="5"/>
    </row>
    <row r="29" spans="1:13" ht="15.75" customHeight="1">
      <c r="A29" s="16"/>
      <c r="L29" s="19" t="str">
        <f>IF(Assets!B28&gt;Assets!G28, "TradingviewAnalyst&gt;CAPM", "CAPM&gt;TradingviewAnalyst")</f>
        <v>CAPM&gt;TradingviewAnalyst</v>
      </c>
      <c r="M29" s="5"/>
    </row>
    <row r="30" spans="1:13" ht="15.75" customHeight="1">
      <c r="A30" s="16"/>
      <c r="L30" s="19" t="str">
        <f>IF(Assets!B29&gt;Assets!G29, "TradingviewAnalyst&gt;CAPM", "CAPM&gt;TradingviewAnalyst")</f>
        <v>TradingviewAnalyst&gt;CAPM</v>
      </c>
      <c r="M30" s="5"/>
    </row>
    <row r="31" spans="1:13" ht="15.75" customHeight="1">
      <c r="A31" s="16"/>
      <c r="L31" s="19" t="str">
        <f>IF(Assets!B30&gt;Assets!G30, "TradingviewAnalyst&gt;CAPM", "CAPM&gt;TradingviewAnalyst")</f>
        <v>TradingviewAnalyst&gt;CAPM</v>
      </c>
      <c r="M31" s="5"/>
    </row>
    <row r="32" spans="1:13" ht="15.75" customHeight="1">
      <c r="A32" s="16"/>
      <c r="D32" s="13" t="e" cm="1" vm="1">
        <f t="array" aca="1" ref="D32" ca="1">_xlfn.STOCKHISTORY("AAPL", TODAY()-30, TODAY(), 30,2,0,1,3,4,5)</f>
        <v>#VALUE!</v>
      </c>
      <c r="L32" s="19" t="str">
        <f>IF(Assets!B31&gt;Assets!G31, "TradingviewAnalyst&gt;CAPM", "CAPM&gt;TradingviewAnalyst")</f>
        <v>TradingviewAnalyst&gt;CAPM</v>
      </c>
      <c r="M32" s="5"/>
    </row>
    <row r="33" spans="1:13" ht="15.75" customHeight="1">
      <c r="A33" s="16"/>
      <c r="L33" s="19" t="str">
        <f>IF(Assets!B32&gt;Assets!G32, "TradingviewAnalyst&gt;CAPM", "CAPM&gt;TradingviewAnalyst")</f>
        <v>TradingviewAnalyst&gt;CAPM</v>
      </c>
      <c r="M33" s="5"/>
    </row>
    <row r="34" spans="1:13" ht="15.75" customHeight="1">
      <c r="A34" s="16"/>
      <c r="L34" s="19" t="str">
        <f>IF(Assets!B33&gt;Assets!G33, "TradingviewAnalyst&gt;CAPM", "CAPM&gt;TradingviewAnalyst")</f>
        <v>TradingviewAnalyst&gt;CAPM</v>
      </c>
      <c r="M34" s="5"/>
    </row>
    <row r="35" spans="1:13" ht="15.75" customHeight="1">
      <c r="A35" s="16"/>
      <c r="L35" s="19" t="str">
        <f>IF(Assets!B34&gt;Assets!G34, "TradingviewAnalyst&gt;CAPM", "CAPM&gt;TradingviewAnalyst")</f>
        <v>CAPM&gt;TradingviewAnalyst</v>
      </c>
      <c r="M35" s="5"/>
    </row>
    <row r="36" spans="1:13" ht="15.75" customHeight="1">
      <c r="A36" s="16"/>
      <c r="L36" s="19" t="str">
        <f>IF(Assets!B35&gt;Assets!G35, "TradingviewAnalyst&gt;CAPM", "CAPM&gt;TradingviewAnalyst")</f>
        <v>TradingviewAnalyst&gt;CAPM</v>
      </c>
      <c r="M36" s="5"/>
    </row>
    <row r="37" spans="1:13" ht="15.75" customHeight="1">
      <c r="A37" s="16"/>
      <c r="L37" s="19" t="str">
        <f>IF(Assets!B36&gt;Assets!G36, "TradingviewAnalyst&gt;CAPM", "CAPM&gt;TradingviewAnalyst")</f>
        <v>TradingviewAnalyst&gt;CAPM</v>
      </c>
      <c r="M37" s="5"/>
    </row>
    <row r="38" spans="1:13" ht="15.75" customHeight="1">
      <c r="A38" s="16"/>
      <c r="L38" s="19" t="str">
        <f>IF(Assets!B37&gt;Assets!G37, "TradingviewAnalyst&gt;CAPM", "CAPM&gt;TradingviewAnalyst")</f>
        <v>TradingviewAnalyst&gt;CAPM</v>
      </c>
      <c r="M38" s="5"/>
    </row>
    <row r="39" spans="1:13" ht="15.75" customHeight="1">
      <c r="A39" s="16"/>
      <c r="L39" s="19" t="str">
        <f>IF(Assets!B38&gt;Assets!G38, "TradingviewAnalyst&gt;CAPM", "CAPM&gt;TradingviewAnalyst")</f>
        <v>TradingviewAnalyst&gt;CAPM</v>
      </c>
      <c r="M39" s="5"/>
    </row>
    <row r="40" spans="1:13" ht="15.75" customHeight="1">
      <c r="A40" s="16"/>
      <c r="L40" s="19" t="str">
        <f>IF(Assets!B39&gt;Assets!G39, "TradingviewAnalyst&gt;CAPM", "CAPM&gt;TradingviewAnalyst")</f>
        <v>TradingviewAnalyst&gt;CAPM</v>
      </c>
      <c r="M40" s="5"/>
    </row>
    <row r="41" spans="1:13" ht="15.75" customHeight="1">
      <c r="A41" s="16"/>
      <c r="L41" s="19" t="str">
        <f>IF(Assets!B40&gt;Assets!G40, "TradingviewAnalyst&gt;CAPM", "CAPM&gt;TradingviewAnalyst")</f>
        <v>TradingviewAnalyst&gt;CAPM</v>
      </c>
      <c r="M41" s="5"/>
    </row>
    <row r="42" spans="1:13" ht="15.75" customHeight="1">
      <c r="A42" s="16"/>
      <c r="L42" s="19" t="str">
        <f>IF(Assets!B41&gt;Assets!G41, "TradingviewAnalyst&gt;CAPM", "CAPM&gt;TradingviewAnalyst")</f>
        <v>TradingviewAnalyst&gt;CAPM</v>
      </c>
      <c r="M42" s="5"/>
    </row>
    <row r="43" spans="1:13" ht="15.75" customHeight="1">
      <c r="A43" s="16"/>
      <c r="L43" s="19" t="str">
        <f>IF(Assets!B42&gt;Assets!G42, "TradingviewAnalyst&gt;CAPM", "CAPM&gt;TradingviewAnalyst")</f>
        <v>TradingviewAnalyst&gt;CAPM</v>
      </c>
      <c r="M43" s="5"/>
    </row>
    <row r="44" spans="1:13" ht="15.75" customHeight="1">
      <c r="A44" s="16"/>
      <c r="L44" s="19" t="str">
        <f>IF(Assets!B43&gt;Assets!G43, "TradingviewAnalyst&gt;CAPM", "CAPM&gt;TradingviewAnalyst")</f>
        <v>CAPM&gt;TradingviewAnalyst</v>
      </c>
      <c r="M44" s="5"/>
    </row>
    <row r="45" spans="1:13" ht="15.75" customHeight="1">
      <c r="A45" s="16"/>
      <c r="L45" s="19" t="str">
        <f>IF(Assets!B44&gt;Assets!G44, "TradingviewAnalyst&gt;CAPM", "CAPM&gt;TradingviewAnalyst")</f>
        <v>TradingviewAnalyst&gt;CAPM</v>
      </c>
      <c r="M45" s="5"/>
    </row>
    <row r="46" spans="1:13" ht="15.75" customHeight="1">
      <c r="A46" s="16"/>
      <c r="L46" s="19" t="str">
        <f>IF(Assets!B45&gt;Assets!G45, "TradingviewAnalyst&gt;CAPM", "CAPM&gt;TradingviewAnalyst")</f>
        <v>TradingviewAnalyst&gt;CAPM</v>
      </c>
      <c r="M46" s="5"/>
    </row>
    <row r="47" spans="1:13" ht="15.75" customHeight="1">
      <c r="A47" s="16"/>
      <c r="L47" s="19" t="str">
        <f>IF(Assets!B46&gt;Assets!G46, "TradingviewAnalyst&gt;CAPM", "CAPM&gt;TradingviewAnalyst")</f>
        <v>TradingviewAnalyst&gt;CAPM</v>
      </c>
      <c r="M47" s="5"/>
    </row>
    <row r="48" spans="1:13" ht="15.75" customHeight="1">
      <c r="A48" s="16"/>
      <c r="L48" s="19" t="str">
        <f>IF(Assets!B47&gt;Assets!G47, "TradingviewAnalyst&gt;CAPM", "CAPM&gt;TradingviewAnalyst")</f>
        <v>TradingviewAnalyst&gt;CAPM</v>
      </c>
      <c r="M48" s="5"/>
    </row>
    <row r="49" spans="1:13" ht="15.75" customHeight="1">
      <c r="A49" s="16"/>
      <c r="L49" s="19" t="str">
        <f>IF(Assets!B48&gt;Assets!G48, "TradingviewAnalyst&gt;CAPM", "CAPM&gt;TradingviewAnalyst")</f>
        <v>TradingviewAnalyst&gt;CAPM</v>
      </c>
      <c r="M49" s="5"/>
    </row>
    <row r="50" spans="1:13" ht="15.75" customHeight="1">
      <c r="A50" s="16"/>
      <c r="L50" s="19" t="str">
        <f>IF(Assets!B49&gt;Assets!G49, "TradingviewAnalyst&gt;CAPM", "CAPM&gt;TradingviewAnalyst")</f>
        <v>TradingviewAnalyst&gt;CAPM</v>
      </c>
      <c r="M50" s="5"/>
    </row>
    <row r="51" spans="1:13" ht="15.75" customHeight="1">
      <c r="A51" s="16"/>
      <c r="L51" s="19" t="str">
        <f>IF(Assets!B50&gt;Assets!G50, "TradingviewAnalyst&gt;CAPM", "CAPM&gt;TradingviewAnalyst")</f>
        <v>TradingviewAnalyst&gt;CAPM</v>
      </c>
      <c r="M51" s="5"/>
    </row>
    <row r="52" spans="1:13" ht="15.75" customHeight="1">
      <c r="A52" s="16"/>
      <c r="L52" s="19" t="str">
        <f>IF(Assets!B51&gt;Assets!G51, "TradingviewAnalyst&gt;CAPM", "CAPM&gt;TradingviewAnalyst")</f>
        <v>TradingviewAnalyst&gt;CAPM</v>
      </c>
      <c r="M52" s="5"/>
    </row>
    <row r="53" spans="1:13" ht="15.75" customHeight="1">
      <c r="A53" s="16"/>
      <c r="L53" s="19" t="str">
        <f>IF(Assets!B52&gt;Assets!G52, "TradingviewAnalyst&gt;CAPM", "CAPM&gt;TradingviewAnalyst")</f>
        <v>CAPM&gt;TradingviewAnalyst</v>
      </c>
      <c r="M53" s="5"/>
    </row>
    <row r="54" spans="1:13" ht="15.75" customHeight="1">
      <c r="A54" s="16"/>
      <c r="L54" s="19" t="str">
        <f>IF(Assets!B53&gt;Assets!G53, "TradingviewAnalyst&gt;CAPM", "CAPM&gt;TradingviewAnalyst")</f>
        <v>TradingviewAnalyst&gt;CAPM</v>
      </c>
      <c r="M54" s="5"/>
    </row>
    <row r="55" spans="1:13" ht="15.75" customHeight="1">
      <c r="A55" s="16"/>
      <c r="L55" s="19" t="str">
        <f>IF(Assets!B54&gt;Assets!G54, "TradingviewAnalyst&gt;CAPM", "CAPM&gt;TradingviewAnalyst")</f>
        <v>TradingviewAnalyst&gt;CAPM</v>
      </c>
      <c r="M55" s="5"/>
    </row>
    <row r="56" spans="1:13" ht="15.75" customHeight="1">
      <c r="A56" s="16"/>
      <c r="L56" s="19" t="str">
        <f>IF(Assets!B55&gt;Assets!G55, "TradingviewAnalyst&gt;CAPM", "CAPM&gt;TradingviewAnalyst")</f>
        <v>TradingviewAnalyst&gt;CAPM</v>
      </c>
      <c r="M56" s="5"/>
    </row>
    <row r="57" spans="1:13" ht="15.75" customHeight="1">
      <c r="A57" s="16"/>
      <c r="L57" s="19" t="str">
        <f>IF(Assets!B56&gt;Assets!G56, "TradingviewAnalyst&gt;CAPM", "CAPM&gt;TradingviewAnalyst")</f>
        <v>TradingviewAnalyst&gt;CAPM</v>
      </c>
      <c r="M57" s="5"/>
    </row>
    <row r="58" spans="1:13" ht="15.75" customHeight="1">
      <c r="A58" s="16"/>
      <c r="L58" s="19" t="str">
        <f>IF(Assets!B57&gt;Assets!G57, "TradingviewAnalyst&gt;CAPM", "CAPM&gt;TradingviewAnalyst")</f>
        <v>TradingviewAnalyst&gt;CAPM</v>
      </c>
      <c r="M58" s="5"/>
    </row>
    <row r="59" spans="1:13" ht="15.75" customHeight="1">
      <c r="A59" s="16"/>
      <c r="L59" s="19" t="str">
        <f>IF(Assets!B58&gt;Assets!G58, "TradingviewAnalyst&gt;CAPM", "CAPM&gt;TradingviewAnalyst")</f>
        <v>TradingviewAnalyst&gt;CAPM</v>
      </c>
      <c r="M59" s="5"/>
    </row>
    <row r="60" spans="1:13" ht="15.75" customHeight="1">
      <c r="A60" s="16"/>
      <c r="L60" s="19" t="str">
        <f>IF(Assets!B59&gt;Assets!G59, "TradingviewAnalyst&gt;CAPM", "CAPM&gt;TradingviewAnalyst")</f>
        <v>TradingviewAnalyst&gt;CAPM</v>
      </c>
      <c r="M60" s="5"/>
    </row>
    <row r="61" spans="1:13" ht="15.75" customHeight="1">
      <c r="A61" s="16"/>
      <c r="L61" s="19" t="str">
        <f>IF(Assets!B60&gt;Assets!G60, "TradingviewAnalyst&gt;CAPM", "CAPM&gt;TradingviewAnalyst")</f>
        <v>TradingviewAnalyst&gt;CAPM</v>
      </c>
      <c r="M61" s="5"/>
    </row>
    <row r="62" spans="1:13" ht="15.75" customHeight="1">
      <c r="A62" s="16"/>
      <c r="L62" s="19" t="str">
        <f>IF(Assets!B61&gt;Assets!G61, "TradingviewAnalyst&gt;CAPM", "CAPM&gt;TradingviewAnalyst")</f>
        <v>TradingviewAnalyst&gt;CAPM</v>
      </c>
      <c r="M62" s="5"/>
    </row>
    <row r="63" spans="1:13" ht="15.75" customHeight="1">
      <c r="A63" s="16"/>
      <c r="L63" s="5"/>
    </row>
    <row r="64" spans="1:13" ht="15.75" customHeight="1">
      <c r="A64" s="16"/>
      <c r="L64" s="5"/>
    </row>
    <row r="65" spans="1:12" ht="15.75" customHeight="1">
      <c r="A65" s="16"/>
      <c r="L65" s="3"/>
    </row>
    <row r="66" spans="1:12" ht="15.75" customHeight="1">
      <c r="A66" s="16"/>
      <c r="L66" s="3"/>
    </row>
    <row r="67" spans="1:12" ht="15.75" customHeight="1">
      <c r="A67" s="16"/>
      <c r="L67" s="3"/>
    </row>
    <row r="68" spans="1:12" ht="15.75" customHeight="1">
      <c r="A68" s="16"/>
      <c r="L68" s="3"/>
    </row>
    <row r="69" spans="1:12" ht="15.75" customHeight="1">
      <c r="A69" s="16"/>
      <c r="L69" s="3"/>
    </row>
    <row r="70" spans="1:12" ht="15.75" customHeight="1">
      <c r="A70" s="16"/>
      <c r="L70" s="3"/>
    </row>
    <row r="71" spans="1:12" ht="15.75" customHeight="1">
      <c r="A71" s="16"/>
      <c r="L71" s="3"/>
    </row>
    <row r="72" spans="1:12" ht="15.75" customHeight="1">
      <c r="A72" s="16"/>
      <c r="L72" s="3"/>
    </row>
    <row r="73" spans="1:12" ht="15.75" customHeight="1">
      <c r="A73" s="16"/>
      <c r="L73" s="5"/>
    </row>
    <row r="74" spans="1:12" ht="15.75" customHeight="1">
      <c r="A74" s="16"/>
      <c r="L74" s="5"/>
    </row>
    <row r="75" spans="1:12" ht="15.75" customHeight="1">
      <c r="A75" s="16"/>
      <c r="L75" s="5"/>
    </row>
    <row r="76" spans="1:12" ht="15.75" customHeight="1">
      <c r="A76" s="16"/>
      <c r="L76" s="5"/>
    </row>
    <row r="77" spans="1:12" ht="15.75" customHeight="1">
      <c r="A77" s="16"/>
      <c r="L77" s="5"/>
    </row>
    <row r="78" spans="1:12" ht="15.75" customHeight="1">
      <c r="A78" s="16"/>
      <c r="L78" s="5"/>
    </row>
    <row r="79" spans="1:12" ht="15.75" customHeight="1">
      <c r="A79" s="16"/>
      <c r="L79" s="5"/>
    </row>
    <row r="80" spans="1:12" ht="15.75" customHeight="1">
      <c r="A80" s="16"/>
      <c r="L80" s="5"/>
    </row>
    <row r="81" spans="1:12" ht="15.75" customHeight="1">
      <c r="A81" s="16"/>
      <c r="L81" s="5"/>
    </row>
    <row r="82" spans="1:12" ht="15.75" customHeight="1">
      <c r="A82" s="16"/>
      <c r="L82" s="5"/>
    </row>
    <row r="83" spans="1:12" ht="15.75" customHeight="1">
      <c r="A83" s="16"/>
      <c r="L83" s="5"/>
    </row>
    <row r="84" spans="1:12" ht="15.75" customHeight="1">
      <c r="A84" s="16"/>
      <c r="L84" s="5"/>
    </row>
    <row r="85" spans="1:12" ht="15.75" customHeight="1">
      <c r="A85" s="16"/>
      <c r="L85" s="5"/>
    </row>
    <row r="86" spans="1:12" ht="15.75" customHeight="1">
      <c r="A86" s="16"/>
      <c r="L86" s="5"/>
    </row>
    <row r="87" spans="1:12" ht="15.75" customHeight="1">
      <c r="A87" s="16"/>
      <c r="L87" s="5"/>
    </row>
    <row r="88" spans="1:12" ht="15.75" customHeight="1">
      <c r="A88" s="16"/>
      <c r="L88" s="5"/>
    </row>
    <row r="89" spans="1:12" ht="15.75" customHeight="1">
      <c r="A89" s="16"/>
      <c r="L89" s="5"/>
    </row>
    <row r="90" spans="1:12" ht="15.75" customHeight="1">
      <c r="A90" s="16"/>
      <c r="L90" s="5"/>
    </row>
    <row r="91" spans="1:12" ht="15.75" customHeight="1">
      <c r="A91" s="16"/>
      <c r="L91" s="5"/>
    </row>
    <row r="92" spans="1:12" ht="15.75" customHeight="1">
      <c r="A92" s="16"/>
      <c r="L92" s="5"/>
    </row>
    <row r="93" spans="1:12" ht="15.75" customHeight="1">
      <c r="A93" s="16"/>
      <c r="L93" s="5"/>
    </row>
    <row r="94" spans="1:12" ht="15.75" customHeight="1">
      <c r="A94" s="16"/>
      <c r="L94" s="5"/>
    </row>
    <row r="95" spans="1:12" ht="15.75" customHeight="1">
      <c r="A95" s="16"/>
      <c r="L95" s="5"/>
    </row>
    <row r="96" spans="1:12" ht="15.75" customHeight="1">
      <c r="A96" s="16"/>
      <c r="L96" s="5"/>
    </row>
    <row r="97" spans="1:12" ht="15.75" customHeight="1">
      <c r="A97" s="16"/>
      <c r="L97" s="5"/>
    </row>
    <row r="98" spans="1:12" ht="15.75" customHeight="1">
      <c r="A98" s="16"/>
      <c r="L98" s="5"/>
    </row>
    <row r="99" spans="1:12" ht="15.75" customHeight="1">
      <c r="A99" s="16"/>
      <c r="L99" s="5"/>
    </row>
    <row r="100" spans="1:12" ht="15.75" customHeight="1">
      <c r="A100" s="16"/>
      <c r="L100" s="5"/>
    </row>
    <row r="101" spans="1:12" ht="15.75" customHeight="1">
      <c r="A101" s="16"/>
      <c r="L101" s="5"/>
    </row>
    <row r="102" spans="1:12" ht="15.75" customHeight="1">
      <c r="A102" s="16"/>
      <c r="L102" s="5"/>
    </row>
    <row r="103" spans="1:12" ht="15.75" customHeight="1">
      <c r="A103" s="16"/>
      <c r="L103" s="5"/>
    </row>
    <row r="104" spans="1:12" ht="15.75" customHeight="1">
      <c r="A104" s="16"/>
      <c r="L104" s="5"/>
    </row>
    <row r="105" spans="1:12" ht="15.75" customHeight="1">
      <c r="A105" s="16"/>
      <c r="L105" s="5"/>
    </row>
    <row r="106" spans="1:12" ht="15.75" customHeight="1">
      <c r="A106" s="16"/>
      <c r="L106" s="5"/>
    </row>
    <row r="107" spans="1:12" ht="15.75" customHeight="1">
      <c r="A107" s="16"/>
      <c r="L107" s="5"/>
    </row>
    <row r="108" spans="1:12" ht="15.75" customHeight="1">
      <c r="A108" s="16"/>
      <c r="L108" s="5"/>
    </row>
    <row r="109" spans="1:12" ht="15.75" customHeight="1">
      <c r="A109" s="16"/>
      <c r="L109" s="5"/>
    </row>
    <row r="110" spans="1:12" ht="15.75" customHeight="1">
      <c r="A110" s="16"/>
      <c r="L110" s="5"/>
    </row>
    <row r="111" spans="1:12" ht="15.75" customHeight="1">
      <c r="A111" s="16"/>
      <c r="L111" s="5"/>
    </row>
    <row r="112" spans="1:12" ht="15.75" customHeight="1">
      <c r="A112" s="16"/>
      <c r="L112" s="5"/>
    </row>
    <row r="113" spans="1:12" ht="15.75" customHeight="1">
      <c r="A113" s="16"/>
      <c r="L113" s="5"/>
    </row>
    <row r="114" spans="1:12" ht="15.75" customHeight="1">
      <c r="A114" s="16"/>
      <c r="L114" s="5"/>
    </row>
    <row r="115" spans="1:12" ht="15.75" customHeight="1">
      <c r="A115" s="16"/>
      <c r="L115" s="5"/>
    </row>
    <row r="116" spans="1:12" ht="15.75" customHeight="1">
      <c r="A116" s="16"/>
      <c r="L116" s="5"/>
    </row>
    <row r="117" spans="1:12" ht="15.75" customHeight="1">
      <c r="A117" s="16"/>
      <c r="L117" s="5"/>
    </row>
    <row r="118" spans="1:12" ht="15.75" customHeight="1">
      <c r="A118" s="16"/>
      <c r="L118" s="5"/>
    </row>
    <row r="119" spans="1:12" ht="15.75" customHeight="1">
      <c r="A119" s="16"/>
      <c r="L119" s="5"/>
    </row>
    <row r="120" spans="1:12" ht="15.75" customHeight="1">
      <c r="A120" s="16"/>
      <c r="L120" s="5"/>
    </row>
    <row r="121" spans="1:12" ht="15.75" customHeight="1">
      <c r="A121" s="16"/>
      <c r="L121" s="5"/>
    </row>
    <row r="122" spans="1:12" ht="15.75" customHeight="1">
      <c r="A122" s="16"/>
      <c r="L122" s="5"/>
    </row>
    <row r="123" spans="1:12" ht="15.75" customHeight="1">
      <c r="A123" s="16"/>
      <c r="L123" s="5"/>
    </row>
    <row r="124" spans="1:12" ht="15.75" customHeight="1">
      <c r="A124" s="16"/>
      <c r="L124" s="5"/>
    </row>
    <row r="125" spans="1:12" ht="15.75" customHeight="1">
      <c r="A125" s="16"/>
      <c r="L125" s="5"/>
    </row>
    <row r="126" spans="1:12" ht="15.75" customHeight="1">
      <c r="A126" s="16"/>
      <c r="L126" s="5"/>
    </row>
    <row r="127" spans="1:12" ht="15.75" customHeight="1">
      <c r="A127" s="16"/>
      <c r="L127" s="5"/>
    </row>
    <row r="128" spans="1:12" ht="15.75" customHeight="1">
      <c r="A128" s="16"/>
      <c r="L128" s="5"/>
    </row>
    <row r="129" spans="1:12" ht="15.75" customHeight="1">
      <c r="A129" s="16"/>
      <c r="L129" s="5"/>
    </row>
    <row r="130" spans="1:12" ht="15.75" customHeight="1">
      <c r="A130" s="16"/>
      <c r="L130" s="5"/>
    </row>
    <row r="131" spans="1:12" ht="15.75" customHeight="1">
      <c r="A131" s="16"/>
      <c r="L131" s="5"/>
    </row>
    <row r="132" spans="1:12" ht="15.75" customHeight="1">
      <c r="A132" s="16"/>
      <c r="L132" s="5"/>
    </row>
    <row r="133" spans="1:12" ht="15.75" customHeight="1">
      <c r="A133" s="16"/>
      <c r="L133" s="5"/>
    </row>
    <row r="134" spans="1:12" ht="15.75" customHeight="1">
      <c r="A134" s="16"/>
      <c r="L134" s="5"/>
    </row>
    <row r="135" spans="1:12" ht="15.75" customHeight="1">
      <c r="A135" s="16"/>
      <c r="L135" s="5"/>
    </row>
    <row r="136" spans="1:12" ht="15.75" customHeight="1">
      <c r="A136" s="16"/>
      <c r="L136" s="5"/>
    </row>
    <row r="137" spans="1:12" ht="15.75" customHeight="1">
      <c r="A137" s="16"/>
      <c r="L137" s="5"/>
    </row>
    <row r="138" spans="1:12" ht="15.75" customHeight="1">
      <c r="A138" s="16"/>
      <c r="L138" s="5"/>
    </row>
    <row r="139" spans="1:12" ht="15.75" customHeight="1">
      <c r="A139" s="16"/>
      <c r="L139" s="5"/>
    </row>
    <row r="140" spans="1:12" ht="15.75" customHeight="1">
      <c r="A140" s="16"/>
      <c r="L140" s="5"/>
    </row>
    <row r="141" spans="1:12" ht="15.75" customHeight="1">
      <c r="A141" s="16"/>
      <c r="L141" s="5"/>
    </row>
    <row r="142" spans="1:12" ht="15.75" customHeight="1">
      <c r="A142" s="16"/>
      <c r="L142" s="5"/>
    </row>
    <row r="143" spans="1:12" ht="15.75" customHeight="1">
      <c r="A143" s="16"/>
      <c r="L143" s="5"/>
    </row>
    <row r="144" spans="1:12" ht="15.75" customHeight="1">
      <c r="A144" s="16"/>
      <c r="L144" s="5"/>
    </row>
    <row r="145" spans="1:12" ht="15.75" customHeight="1">
      <c r="A145" s="16"/>
      <c r="L145" s="5"/>
    </row>
    <row r="146" spans="1:12" ht="15.75" customHeight="1">
      <c r="A146" s="16"/>
      <c r="L146" s="5"/>
    </row>
    <row r="147" spans="1:12" ht="15.75" customHeight="1">
      <c r="A147" s="16"/>
      <c r="L147" s="5"/>
    </row>
    <row r="148" spans="1:12" ht="15.75" customHeight="1">
      <c r="A148" s="16"/>
      <c r="L148" s="5"/>
    </row>
    <row r="149" spans="1:12" ht="15.75" customHeight="1">
      <c r="A149" s="16"/>
      <c r="L149" s="5"/>
    </row>
    <row r="150" spans="1:12" ht="15.75" customHeight="1">
      <c r="A150" s="16"/>
      <c r="L150" s="5"/>
    </row>
    <row r="151" spans="1:12" ht="15.75" customHeight="1">
      <c r="A151" s="16"/>
      <c r="L151" s="5"/>
    </row>
    <row r="152" spans="1:12" ht="15.75" customHeight="1">
      <c r="A152" s="16"/>
      <c r="L152" s="5"/>
    </row>
    <row r="153" spans="1:12" ht="15.75" customHeight="1">
      <c r="A153" s="16"/>
      <c r="L153" s="5"/>
    </row>
    <row r="154" spans="1:12" ht="15.75" customHeight="1">
      <c r="A154" s="16"/>
      <c r="L154" s="5"/>
    </row>
    <row r="155" spans="1:12" ht="15.75" customHeight="1">
      <c r="A155" s="16"/>
      <c r="L155" s="5"/>
    </row>
    <row r="156" spans="1:12" ht="15.75" customHeight="1">
      <c r="A156" s="16"/>
      <c r="L156" s="5"/>
    </row>
    <row r="157" spans="1:12" ht="15.75" customHeight="1">
      <c r="A157" s="16"/>
      <c r="L157" s="5"/>
    </row>
    <row r="158" spans="1:12" ht="15.75" customHeight="1">
      <c r="A158" s="16"/>
      <c r="L158" s="5"/>
    </row>
    <row r="159" spans="1:12" ht="15.75" customHeight="1">
      <c r="A159" s="16"/>
      <c r="L159" s="5"/>
    </row>
    <row r="160" spans="1:12" ht="15.75" customHeight="1">
      <c r="A160" s="16"/>
      <c r="L160" s="5"/>
    </row>
    <row r="161" spans="1:12" ht="15.75" customHeight="1">
      <c r="A161" s="16"/>
      <c r="L161" s="5"/>
    </row>
    <row r="162" spans="1:12" ht="15.75" customHeight="1">
      <c r="A162" s="16"/>
      <c r="L162" s="5"/>
    </row>
    <row r="163" spans="1:12" ht="15.75" customHeight="1">
      <c r="A163" s="16"/>
      <c r="L163" s="5"/>
    </row>
    <row r="164" spans="1:12" ht="15.75" customHeight="1">
      <c r="A164" s="16"/>
      <c r="L164" s="5"/>
    </row>
    <row r="165" spans="1:12" ht="15.75" customHeight="1">
      <c r="A165" s="16"/>
      <c r="L165" s="5"/>
    </row>
    <row r="166" spans="1:12" ht="15.75" customHeight="1">
      <c r="A166" s="16"/>
      <c r="L166" s="5"/>
    </row>
    <row r="167" spans="1:12" ht="15.75" customHeight="1">
      <c r="A167" s="16"/>
      <c r="L167" s="5"/>
    </row>
    <row r="168" spans="1:12" ht="15.75" customHeight="1">
      <c r="A168" s="16"/>
      <c r="L168" s="5"/>
    </row>
    <row r="169" spans="1:12" ht="15.75" customHeight="1">
      <c r="A169" s="16"/>
      <c r="L169" s="5"/>
    </row>
    <row r="170" spans="1:12" ht="15.75" customHeight="1">
      <c r="A170" s="16"/>
      <c r="L170" s="5"/>
    </row>
    <row r="171" spans="1:12" ht="15.75" customHeight="1">
      <c r="A171" s="16"/>
      <c r="L171" s="5"/>
    </row>
    <row r="172" spans="1:12" ht="15.75" customHeight="1">
      <c r="A172" s="16"/>
      <c r="L172" s="5"/>
    </row>
    <row r="173" spans="1:12" ht="15.75" customHeight="1">
      <c r="A173" s="16"/>
      <c r="L173" s="5"/>
    </row>
    <row r="174" spans="1:12" ht="15.75" customHeight="1">
      <c r="A174" s="16"/>
      <c r="L174" s="5"/>
    </row>
    <row r="175" spans="1:12" ht="15.75" customHeight="1">
      <c r="A175" s="16"/>
      <c r="L175" s="5"/>
    </row>
    <row r="176" spans="1:12" ht="15.75" customHeight="1">
      <c r="A176" s="16"/>
      <c r="L176" s="5"/>
    </row>
    <row r="177" spans="1:12" ht="15.75" customHeight="1">
      <c r="A177" s="16"/>
      <c r="L177" s="5"/>
    </row>
    <row r="178" spans="1:12" ht="15.75" customHeight="1">
      <c r="A178" s="16"/>
      <c r="L178" s="5"/>
    </row>
    <row r="179" spans="1:12" ht="15.75" customHeight="1">
      <c r="A179" s="16"/>
      <c r="L179" s="5"/>
    </row>
    <row r="180" spans="1:12" ht="15.75" customHeight="1">
      <c r="A180" s="16"/>
      <c r="L180" s="5"/>
    </row>
    <row r="181" spans="1:12" ht="15.75" customHeight="1">
      <c r="A181" s="16"/>
      <c r="L181" s="5"/>
    </row>
    <row r="182" spans="1:12" ht="15.75" customHeight="1">
      <c r="A182" s="16"/>
      <c r="L182" s="5"/>
    </row>
    <row r="183" spans="1:12" ht="15.75" customHeight="1">
      <c r="A183" s="16"/>
      <c r="L183" s="5"/>
    </row>
    <row r="184" spans="1:12" ht="15.75" customHeight="1">
      <c r="A184" s="16"/>
      <c r="L184" s="5"/>
    </row>
    <row r="185" spans="1:12" ht="15.75" customHeight="1">
      <c r="A185" s="16"/>
      <c r="L185" s="5"/>
    </row>
    <row r="186" spans="1:12" ht="15.75" customHeight="1">
      <c r="A186" s="16"/>
      <c r="L186" s="5"/>
    </row>
    <row r="187" spans="1:12" ht="15.75" customHeight="1">
      <c r="A187" s="16"/>
      <c r="L187" s="5"/>
    </row>
    <row r="188" spans="1:12" ht="15.75" customHeight="1">
      <c r="A188" s="16"/>
      <c r="L188" s="5"/>
    </row>
    <row r="189" spans="1:12" ht="15.75" customHeight="1">
      <c r="A189" s="16"/>
      <c r="L189" s="5"/>
    </row>
    <row r="190" spans="1:12" ht="15.75" customHeight="1">
      <c r="A190" s="16"/>
      <c r="L190" s="5"/>
    </row>
    <row r="191" spans="1:12" ht="15.75" customHeight="1">
      <c r="A191" s="16"/>
      <c r="L191" s="5"/>
    </row>
    <row r="192" spans="1:12" ht="15.75" customHeight="1">
      <c r="A192" s="16"/>
      <c r="L192" s="5"/>
    </row>
    <row r="193" spans="1:12" ht="15.75" customHeight="1">
      <c r="A193" s="16"/>
      <c r="L193" s="5"/>
    </row>
    <row r="194" spans="1:12" ht="15.75" customHeight="1">
      <c r="A194" s="16"/>
      <c r="L194" s="5"/>
    </row>
    <row r="195" spans="1:12" ht="15.75" customHeight="1">
      <c r="A195" s="16"/>
      <c r="L195" s="5"/>
    </row>
    <row r="196" spans="1:12" ht="15.75" customHeight="1">
      <c r="A196" s="16"/>
      <c r="L196" s="5"/>
    </row>
    <row r="197" spans="1:12" ht="15.75" customHeight="1">
      <c r="A197" s="16"/>
      <c r="L197" s="5"/>
    </row>
    <row r="198" spans="1:12" ht="15.75" customHeight="1">
      <c r="A198" s="16"/>
      <c r="L198" s="5"/>
    </row>
    <row r="199" spans="1:12" ht="15.75" customHeight="1">
      <c r="A199" s="16"/>
      <c r="L199" s="5"/>
    </row>
    <row r="200" spans="1:12" ht="15.75" customHeight="1">
      <c r="A200" s="16"/>
      <c r="L200" s="5"/>
    </row>
    <row r="201" spans="1:12" ht="15.75" customHeight="1">
      <c r="A201" s="16"/>
      <c r="L201" s="5"/>
    </row>
    <row r="202" spans="1:12" ht="15.75" customHeight="1">
      <c r="A202" s="16"/>
      <c r="L202" s="5"/>
    </row>
    <row r="203" spans="1:12" ht="15.75" customHeight="1">
      <c r="A203" s="16"/>
      <c r="L203" s="5"/>
    </row>
    <row r="204" spans="1:12" ht="15.75" customHeight="1">
      <c r="A204" s="16"/>
      <c r="L204" s="5"/>
    </row>
    <row r="205" spans="1:12" ht="15.75" customHeight="1">
      <c r="A205" s="16"/>
      <c r="L205" s="5"/>
    </row>
    <row r="206" spans="1:12" ht="15.75" customHeight="1">
      <c r="A206" s="16"/>
      <c r="L206" s="5"/>
    </row>
    <row r="207" spans="1:12" ht="15.75" customHeight="1">
      <c r="A207" s="16"/>
      <c r="L207" s="5"/>
    </row>
    <row r="208" spans="1:12" ht="15.75" customHeight="1">
      <c r="A208" s="16"/>
      <c r="L208" s="5"/>
    </row>
    <row r="209" spans="1:12" ht="15.75" customHeight="1">
      <c r="A209" s="16"/>
      <c r="L209" s="5"/>
    </row>
    <row r="210" spans="1:12" ht="15.75" customHeight="1">
      <c r="A210" s="16"/>
      <c r="L210" s="5"/>
    </row>
    <row r="211" spans="1:12" ht="15.75" customHeight="1">
      <c r="A211" s="16"/>
      <c r="L211" s="5"/>
    </row>
    <row r="212" spans="1:12" ht="15.75" customHeight="1">
      <c r="A212" s="16"/>
      <c r="L212" s="5"/>
    </row>
    <row r="213" spans="1:12" ht="15.75" customHeight="1">
      <c r="A213" s="16"/>
      <c r="L213" s="5"/>
    </row>
    <row r="214" spans="1:12" ht="15.75" customHeight="1">
      <c r="A214" s="16"/>
      <c r="L214" s="5"/>
    </row>
    <row r="215" spans="1:12" ht="15.75" customHeight="1">
      <c r="A215" s="16"/>
      <c r="L215" s="5"/>
    </row>
    <row r="216" spans="1:12" ht="15.75" customHeight="1">
      <c r="A216" s="16"/>
      <c r="L216" s="5"/>
    </row>
    <row r="217" spans="1:12" ht="15.75" customHeight="1">
      <c r="A217" s="16"/>
      <c r="L217" s="5"/>
    </row>
    <row r="218" spans="1:12" ht="15.75" customHeight="1">
      <c r="A218" s="16"/>
      <c r="L218" s="5"/>
    </row>
    <row r="219" spans="1:12" ht="15.75" customHeight="1">
      <c r="A219" s="16"/>
      <c r="L219" s="5"/>
    </row>
    <row r="220" spans="1:12" ht="15.75" customHeight="1">
      <c r="A220" s="16"/>
      <c r="L220" s="5"/>
    </row>
    <row r="221" spans="1:12" ht="15.75" customHeight="1">
      <c r="A221" s="16"/>
      <c r="L221" s="5"/>
    </row>
    <row r="222" spans="1:12" ht="15.75" customHeight="1">
      <c r="A222" s="16"/>
      <c r="L222" s="5"/>
    </row>
    <row r="223" spans="1:12" ht="15.75" customHeight="1">
      <c r="A223" s="16"/>
      <c r="L223" s="5"/>
    </row>
    <row r="224" spans="1:12" ht="15.75" customHeight="1">
      <c r="A224" s="16"/>
      <c r="L224" s="5"/>
    </row>
    <row r="225" spans="1:12" ht="15.75" customHeight="1">
      <c r="A225" s="16"/>
      <c r="L225" s="5"/>
    </row>
    <row r="226" spans="1:12" ht="15.75" customHeight="1">
      <c r="A226" s="16"/>
      <c r="L226" s="5"/>
    </row>
    <row r="227" spans="1:12" ht="15.75" customHeight="1">
      <c r="A227" s="16"/>
      <c r="L227" s="5"/>
    </row>
    <row r="228" spans="1:12" ht="15.75" customHeight="1">
      <c r="A228" s="16"/>
      <c r="L228" s="5"/>
    </row>
    <row r="229" spans="1:12" ht="15.75" customHeight="1">
      <c r="A229" s="16"/>
      <c r="L229" s="5"/>
    </row>
    <row r="230" spans="1:12" ht="15.75" customHeight="1">
      <c r="A230" s="16"/>
      <c r="L230" s="5"/>
    </row>
    <row r="231" spans="1:12" ht="15.75" customHeight="1">
      <c r="A231" s="16"/>
      <c r="L231" s="5"/>
    </row>
    <row r="232" spans="1:12" ht="15.75" customHeight="1">
      <c r="A232" s="16"/>
      <c r="L232" s="5"/>
    </row>
    <row r="233" spans="1:12" ht="15.75" customHeight="1">
      <c r="A233" s="16"/>
      <c r="L233" s="5"/>
    </row>
    <row r="234" spans="1:12" ht="15.75" customHeight="1">
      <c r="A234" s="16"/>
      <c r="L234" s="5"/>
    </row>
    <row r="235" spans="1:12" ht="15.75" customHeight="1">
      <c r="A235" s="16"/>
      <c r="L235" s="5"/>
    </row>
    <row r="236" spans="1:12" ht="15.75" customHeight="1">
      <c r="A236" s="16"/>
      <c r="L236" s="5"/>
    </row>
    <row r="237" spans="1:12" ht="15.75" customHeight="1">
      <c r="A237" s="16"/>
      <c r="L237" s="5"/>
    </row>
    <row r="238" spans="1:12" ht="15.75" customHeight="1">
      <c r="A238" s="16"/>
      <c r="L238" s="5"/>
    </row>
    <row r="239" spans="1:12" ht="15.75" customHeight="1">
      <c r="A239" s="16"/>
      <c r="L239" s="5"/>
    </row>
    <row r="240" spans="1:12" ht="15.75" customHeight="1">
      <c r="A240" s="16"/>
      <c r="L240" s="5"/>
    </row>
    <row r="241" spans="1:12" ht="15.75" customHeight="1">
      <c r="A241" s="16"/>
      <c r="L241" s="5"/>
    </row>
    <row r="242" spans="1:12" ht="15.75" customHeight="1">
      <c r="A242" s="16"/>
      <c r="L242" s="5"/>
    </row>
    <row r="243" spans="1:12" ht="15.75" customHeight="1">
      <c r="A243" s="16"/>
      <c r="L243" s="5"/>
    </row>
    <row r="244" spans="1:12" ht="15.75" customHeight="1">
      <c r="A244" s="16"/>
      <c r="L244" s="5"/>
    </row>
    <row r="245" spans="1:12" ht="15.75" customHeight="1">
      <c r="A245" s="16"/>
      <c r="L245" s="5"/>
    </row>
    <row r="246" spans="1:12" ht="15.75" customHeight="1">
      <c r="A246" s="16"/>
      <c r="L246" s="5"/>
    </row>
    <row r="247" spans="1:12" ht="15.75" customHeight="1">
      <c r="A247" s="16"/>
      <c r="L247" s="5"/>
    </row>
    <row r="248" spans="1:12" ht="15.75" customHeight="1">
      <c r="A248" s="16"/>
      <c r="L248" s="5"/>
    </row>
    <row r="249" spans="1:12" ht="15.75" customHeight="1">
      <c r="A249" s="16"/>
      <c r="L249" s="5"/>
    </row>
    <row r="250" spans="1:12" ht="15.75" customHeight="1">
      <c r="A250" s="16"/>
      <c r="L250" s="5"/>
    </row>
    <row r="251" spans="1:12" ht="15.75" customHeight="1">
      <c r="A251" s="16"/>
      <c r="L251" s="5"/>
    </row>
    <row r="252" spans="1:12" ht="15.75" customHeight="1">
      <c r="A252" s="16"/>
      <c r="L252" s="5"/>
    </row>
    <row r="253" spans="1:12" ht="15.75" customHeight="1">
      <c r="A253" s="16"/>
      <c r="L253" s="5"/>
    </row>
    <row r="254" spans="1:12" ht="15.75" customHeight="1">
      <c r="A254" s="16"/>
      <c r="L254" s="5"/>
    </row>
    <row r="255" spans="1:12" ht="15.75" customHeight="1">
      <c r="A255" s="16"/>
      <c r="L255" s="5"/>
    </row>
    <row r="256" spans="1:12" ht="15.75" customHeight="1">
      <c r="A256" s="16"/>
      <c r="L256" s="5"/>
    </row>
    <row r="257" spans="1:12" ht="15.75" customHeight="1">
      <c r="A257" s="16"/>
      <c r="L257" s="5"/>
    </row>
    <row r="258" spans="1:12" ht="15.75" customHeight="1">
      <c r="A258" s="16"/>
      <c r="L258" s="5"/>
    </row>
    <row r="259" spans="1:12" ht="15.75" customHeight="1">
      <c r="A259" s="16"/>
      <c r="L259" s="5"/>
    </row>
    <row r="260" spans="1:12" ht="15.75" customHeight="1">
      <c r="A260" s="16"/>
      <c r="L260" s="5"/>
    </row>
    <row r="261" spans="1:12" ht="15.75" customHeight="1">
      <c r="A261" s="16"/>
      <c r="L261" s="5"/>
    </row>
    <row r="262" spans="1:12" ht="15.75" customHeight="1">
      <c r="A262" s="16"/>
      <c r="L262" s="5"/>
    </row>
    <row r="263" spans="1:12" ht="15.75" customHeight="1">
      <c r="A263" s="16"/>
      <c r="L263" s="5"/>
    </row>
    <row r="264" spans="1:12" ht="15.75" customHeight="1">
      <c r="A264" s="16"/>
      <c r="L264" s="5"/>
    </row>
    <row r="265" spans="1:12" ht="15.75" customHeight="1">
      <c r="A265" s="16"/>
      <c r="L265" s="5"/>
    </row>
    <row r="266" spans="1:12" ht="15.75" customHeight="1">
      <c r="A266" s="16"/>
      <c r="L266" s="5"/>
    </row>
    <row r="267" spans="1:12" ht="15.75" customHeight="1">
      <c r="A267" s="16"/>
      <c r="L267" s="5"/>
    </row>
    <row r="268" spans="1:12" ht="15.75" customHeight="1">
      <c r="A268" s="16"/>
      <c r="L268" s="5"/>
    </row>
    <row r="269" spans="1:12" ht="15.75" customHeight="1">
      <c r="A269" s="16"/>
      <c r="L269" s="5"/>
    </row>
    <row r="270" spans="1:12" ht="15.75" customHeight="1">
      <c r="A270" s="16"/>
      <c r="L270" s="5"/>
    </row>
    <row r="271" spans="1:12" ht="15.75" customHeight="1">
      <c r="A271" s="16"/>
      <c r="L271" s="5"/>
    </row>
    <row r="272" spans="1:12" ht="15.75" customHeight="1">
      <c r="A272" s="16"/>
      <c r="L272" s="5"/>
    </row>
    <row r="273" spans="1:12" ht="15.75" customHeight="1">
      <c r="A273" s="16"/>
      <c r="L273" s="5"/>
    </row>
    <row r="274" spans="1:12" ht="15.75" customHeight="1">
      <c r="A274" s="16"/>
      <c r="L274" s="5"/>
    </row>
    <row r="275" spans="1:12" ht="15.75" customHeight="1">
      <c r="A275" s="16"/>
      <c r="L275" s="5"/>
    </row>
    <row r="276" spans="1:12" ht="15.75" customHeight="1">
      <c r="A276" s="16"/>
      <c r="L276" s="5"/>
    </row>
    <row r="277" spans="1:12" ht="15.75" customHeight="1">
      <c r="A277" s="16"/>
      <c r="L277" s="5"/>
    </row>
    <row r="278" spans="1:12" ht="15.75" customHeight="1">
      <c r="A278" s="16"/>
      <c r="L278" s="5"/>
    </row>
    <row r="279" spans="1:12" ht="15.75" customHeight="1">
      <c r="A279" s="16"/>
      <c r="L279" s="5"/>
    </row>
    <row r="280" spans="1:12" ht="15.75" customHeight="1">
      <c r="A280" s="16"/>
      <c r="L280" s="5"/>
    </row>
    <row r="281" spans="1:12" ht="15.75" customHeight="1">
      <c r="A281" s="16"/>
      <c r="L281" s="5"/>
    </row>
    <row r="282" spans="1:12" ht="15.75" customHeight="1">
      <c r="A282" s="16"/>
      <c r="L282" s="5"/>
    </row>
    <row r="283" spans="1:12" ht="15.75" customHeight="1">
      <c r="A283" s="16"/>
      <c r="L283" s="5"/>
    </row>
    <row r="284" spans="1:12" ht="15.75" customHeight="1">
      <c r="A284" s="16"/>
      <c r="L284" s="5"/>
    </row>
    <row r="285" spans="1:12" ht="15.75" customHeight="1">
      <c r="A285" s="16"/>
      <c r="L285" s="5"/>
    </row>
    <row r="286" spans="1:12" ht="15.75" customHeight="1">
      <c r="A286" s="16"/>
      <c r="L286" s="5"/>
    </row>
    <row r="287" spans="1:12" ht="15.75" customHeight="1">
      <c r="A287" s="16"/>
      <c r="L287" s="5"/>
    </row>
    <row r="288" spans="1:12" ht="15.75" customHeight="1">
      <c r="A288" s="16"/>
      <c r="L288" s="5"/>
    </row>
    <row r="289" spans="1:12" ht="15.75" customHeight="1">
      <c r="A289" s="16"/>
      <c r="L289" s="5"/>
    </row>
    <row r="290" spans="1:12" ht="15.75" customHeight="1">
      <c r="A290" s="16"/>
      <c r="L290" s="5"/>
    </row>
    <row r="291" spans="1:12" ht="15.75" customHeight="1">
      <c r="A291" s="16"/>
      <c r="L291" s="5"/>
    </row>
    <row r="292" spans="1:12" ht="15.75" customHeight="1">
      <c r="A292" s="16"/>
      <c r="L292" s="5"/>
    </row>
    <row r="293" spans="1:12" ht="15.75" customHeight="1">
      <c r="A293" s="16"/>
      <c r="L293" s="5"/>
    </row>
    <row r="294" spans="1:12" ht="15.75" customHeight="1">
      <c r="A294" s="16"/>
      <c r="L294" s="5"/>
    </row>
    <row r="295" spans="1:12" ht="15.75" customHeight="1">
      <c r="A295" s="16"/>
      <c r="L295" s="5"/>
    </row>
    <row r="296" spans="1:12" ht="15.75" customHeight="1">
      <c r="A296" s="16"/>
      <c r="L296" s="5"/>
    </row>
    <row r="297" spans="1:12" ht="15.75" customHeight="1">
      <c r="A297" s="16"/>
      <c r="L297" s="5"/>
    </row>
    <row r="298" spans="1:12" ht="15.75" customHeight="1">
      <c r="A298" s="16"/>
      <c r="L298" s="5"/>
    </row>
    <row r="299" spans="1:12" ht="15.75" customHeight="1">
      <c r="A299" s="16"/>
      <c r="L299" s="5"/>
    </row>
    <row r="300" spans="1:12" ht="15.75" customHeight="1">
      <c r="A300" s="16"/>
      <c r="L300" s="5"/>
    </row>
    <row r="301" spans="1:12" ht="15.75" customHeight="1">
      <c r="A301" s="16"/>
      <c r="L301" s="5"/>
    </row>
    <row r="302" spans="1:12" ht="15.75" customHeight="1">
      <c r="A302" s="16"/>
      <c r="L302" s="5"/>
    </row>
    <row r="303" spans="1:12" ht="15.75" customHeight="1">
      <c r="A303" s="16"/>
      <c r="L303" s="5"/>
    </row>
    <row r="304" spans="1:12" ht="15.75" customHeight="1">
      <c r="A304" s="16"/>
      <c r="L304" s="5"/>
    </row>
    <row r="305" spans="1:12" ht="15.75" customHeight="1">
      <c r="A305" s="16"/>
      <c r="L305" s="5"/>
    </row>
    <row r="306" spans="1:12" ht="15.75" customHeight="1">
      <c r="A306" s="16"/>
      <c r="L306" s="5"/>
    </row>
    <row r="307" spans="1:12" ht="15.75" customHeight="1">
      <c r="A307" s="16"/>
      <c r="L307" s="5"/>
    </row>
    <row r="308" spans="1:12" ht="15.75" customHeight="1">
      <c r="A308" s="16"/>
      <c r="L308" s="5"/>
    </row>
    <row r="309" spans="1:12" ht="15.75" customHeight="1">
      <c r="A309" s="16"/>
      <c r="L309" s="5"/>
    </row>
    <row r="310" spans="1:12" ht="15.75" customHeight="1">
      <c r="A310" s="16"/>
      <c r="L310" s="5"/>
    </row>
    <row r="311" spans="1:12" ht="15.75" customHeight="1">
      <c r="A311" s="16"/>
      <c r="L311" s="5"/>
    </row>
    <row r="312" spans="1:12" ht="15.75" customHeight="1">
      <c r="A312" s="16"/>
      <c r="L312" s="5"/>
    </row>
    <row r="313" spans="1:12" ht="15.75" customHeight="1">
      <c r="A313" s="16"/>
      <c r="L313" s="5"/>
    </row>
    <row r="314" spans="1:12" ht="15.75" customHeight="1">
      <c r="A314" s="16"/>
      <c r="L314" s="5"/>
    </row>
    <row r="315" spans="1:12" ht="15.75" customHeight="1">
      <c r="A315" s="16"/>
      <c r="L315" s="5"/>
    </row>
    <row r="316" spans="1:12" ht="15.75" customHeight="1">
      <c r="A316" s="16"/>
      <c r="L316" s="5"/>
    </row>
    <row r="317" spans="1:12" ht="15.75" customHeight="1">
      <c r="A317" s="16"/>
      <c r="L317" s="5"/>
    </row>
    <row r="318" spans="1:12" ht="15.75" customHeight="1">
      <c r="A318" s="16"/>
      <c r="L318" s="5"/>
    </row>
    <row r="319" spans="1:12" ht="15.75" customHeight="1">
      <c r="A319" s="16"/>
      <c r="L319" s="5"/>
    </row>
    <row r="320" spans="1:12" ht="15.75" customHeight="1">
      <c r="A320" s="16"/>
      <c r="L320" s="5"/>
    </row>
    <row r="321" spans="1:12" ht="15.75" customHeight="1">
      <c r="A321" s="16"/>
      <c r="L321" s="5"/>
    </row>
    <row r="322" spans="1:12" ht="15.75" customHeight="1">
      <c r="A322" s="16"/>
      <c r="L322" s="5"/>
    </row>
    <row r="323" spans="1:12" ht="15.75" customHeight="1">
      <c r="A323" s="16"/>
      <c r="L323" s="5"/>
    </row>
    <row r="324" spans="1:12" ht="15.75" customHeight="1">
      <c r="A324" s="16"/>
      <c r="L324" s="5"/>
    </row>
    <row r="325" spans="1:12" ht="15.75" customHeight="1">
      <c r="A325" s="16"/>
      <c r="L325" s="5"/>
    </row>
    <row r="326" spans="1:12" ht="15.75" customHeight="1">
      <c r="A326" s="16"/>
      <c r="L326" s="5"/>
    </row>
    <row r="327" spans="1:12" ht="15.75" customHeight="1">
      <c r="A327" s="16"/>
      <c r="L327" s="5"/>
    </row>
    <row r="328" spans="1:12" ht="15.75" customHeight="1">
      <c r="A328" s="16"/>
      <c r="L328" s="5"/>
    </row>
    <row r="329" spans="1:12" ht="15.75" customHeight="1">
      <c r="A329" s="16"/>
      <c r="L329" s="5"/>
    </row>
    <row r="330" spans="1:12" ht="15.75" customHeight="1">
      <c r="A330" s="16"/>
      <c r="L330" s="5"/>
    </row>
    <row r="331" spans="1:12" ht="15.75" customHeight="1">
      <c r="A331" s="16"/>
      <c r="L331" s="5"/>
    </row>
    <row r="332" spans="1:12" ht="15.75" customHeight="1">
      <c r="A332" s="16"/>
      <c r="L332" s="5"/>
    </row>
    <row r="333" spans="1:12" ht="15.75" customHeight="1">
      <c r="A333" s="16"/>
      <c r="L333" s="5"/>
    </row>
    <row r="334" spans="1:12" ht="15.75" customHeight="1">
      <c r="A334" s="16"/>
      <c r="L334" s="5"/>
    </row>
    <row r="335" spans="1:12" ht="15.75" customHeight="1">
      <c r="A335" s="16"/>
      <c r="L335" s="5"/>
    </row>
    <row r="336" spans="1:12" ht="15.75" customHeight="1">
      <c r="A336" s="16"/>
      <c r="L336" s="5"/>
    </row>
    <row r="337" spans="1:12" ht="15.75" customHeight="1">
      <c r="A337" s="16"/>
      <c r="L337" s="5"/>
    </row>
    <row r="338" spans="1:12" ht="15.75" customHeight="1">
      <c r="A338" s="16"/>
      <c r="L338" s="5"/>
    </row>
    <row r="339" spans="1:12" ht="15.75" customHeight="1">
      <c r="A339" s="16"/>
      <c r="L339" s="5"/>
    </row>
    <row r="340" spans="1:12" ht="15.75" customHeight="1">
      <c r="A340" s="16"/>
      <c r="L340" s="5"/>
    </row>
    <row r="341" spans="1:12" ht="15.75" customHeight="1">
      <c r="A341" s="16"/>
      <c r="L341" s="5"/>
    </row>
    <row r="342" spans="1:12" ht="15.75" customHeight="1">
      <c r="A342" s="16"/>
      <c r="L342" s="5"/>
    </row>
    <row r="343" spans="1:12" ht="15.75" customHeight="1">
      <c r="A343" s="16"/>
      <c r="L343" s="5"/>
    </row>
    <row r="344" spans="1:12" ht="15.75" customHeight="1">
      <c r="A344" s="16"/>
      <c r="L344" s="5"/>
    </row>
    <row r="345" spans="1:12" ht="15.75" customHeight="1">
      <c r="A345" s="16"/>
      <c r="L345" s="5"/>
    </row>
    <row r="346" spans="1:12" ht="15.75" customHeight="1">
      <c r="A346" s="16"/>
      <c r="L346" s="5"/>
    </row>
    <row r="347" spans="1:12" ht="15.75" customHeight="1">
      <c r="A347" s="16"/>
      <c r="L347" s="5"/>
    </row>
    <row r="348" spans="1:12" ht="15.75" customHeight="1">
      <c r="A348" s="16"/>
      <c r="L348" s="5"/>
    </row>
    <row r="349" spans="1:12" ht="15.75" customHeight="1">
      <c r="A349" s="16"/>
      <c r="L349" s="5"/>
    </row>
    <row r="350" spans="1:12" ht="15.75" customHeight="1">
      <c r="A350" s="16"/>
      <c r="L350" s="5"/>
    </row>
    <row r="351" spans="1:12" ht="15.75" customHeight="1">
      <c r="A351" s="16"/>
      <c r="L351" s="5"/>
    </row>
    <row r="352" spans="1:12" ht="15.75" customHeight="1">
      <c r="A352" s="16"/>
      <c r="L352" s="5"/>
    </row>
    <row r="353" spans="1:12" ht="15.75" customHeight="1">
      <c r="A353" s="16"/>
      <c r="L353" s="5"/>
    </row>
    <row r="354" spans="1:12" ht="15.75" customHeight="1">
      <c r="A354" s="16"/>
      <c r="L354" s="5"/>
    </row>
    <row r="355" spans="1:12" ht="15.75" customHeight="1">
      <c r="A355" s="16"/>
      <c r="L355" s="5"/>
    </row>
    <row r="356" spans="1:12" ht="15.75" customHeight="1">
      <c r="A356" s="16"/>
      <c r="L356" s="5"/>
    </row>
    <row r="357" spans="1:12" ht="15.75" customHeight="1">
      <c r="A357" s="16"/>
      <c r="L357" s="5"/>
    </row>
    <row r="358" spans="1:12" ht="15.75" customHeight="1">
      <c r="A358" s="16"/>
      <c r="L358" s="5"/>
    </row>
    <row r="359" spans="1:12" ht="15.75" customHeight="1">
      <c r="A359" s="16"/>
      <c r="L359" s="5"/>
    </row>
    <row r="360" spans="1:12" ht="15.75" customHeight="1">
      <c r="A360" s="16"/>
      <c r="L360" s="5"/>
    </row>
    <row r="361" spans="1:12" ht="15.75" customHeight="1">
      <c r="A361" s="16"/>
      <c r="L361" s="5"/>
    </row>
    <row r="362" spans="1:12" ht="15.75" customHeight="1">
      <c r="A362" s="16"/>
      <c r="L362" s="5"/>
    </row>
    <row r="363" spans="1:12" ht="15.75" customHeight="1">
      <c r="A363" s="16"/>
      <c r="L363" s="5"/>
    </row>
    <row r="364" spans="1:12" ht="15.75" customHeight="1">
      <c r="A364" s="16"/>
      <c r="L364" s="5"/>
    </row>
    <row r="365" spans="1:12" ht="15.75" customHeight="1">
      <c r="A365" s="16"/>
      <c r="L365" s="5"/>
    </row>
    <row r="366" spans="1:12" ht="15.75" customHeight="1">
      <c r="A366" s="16"/>
      <c r="L366" s="5"/>
    </row>
    <row r="367" spans="1:12" ht="15.75" customHeight="1">
      <c r="A367" s="16"/>
      <c r="L367" s="5"/>
    </row>
    <row r="368" spans="1:12" ht="15.75" customHeight="1">
      <c r="A368" s="16"/>
      <c r="L368" s="5"/>
    </row>
    <row r="369" spans="1:12" ht="15.75" customHeight="1">
      <c r="A369" s="16"/>
      <c r="L369" s="5"/>
    </row>
    <row r="370" spans="1:12" ht="15.75" customHeight="1">
      <c r="A370" s="16"/>
      <c r="L370" s="5"/>
    </row>
    <row r="371" spans="1:12" ht="15.75" customHeight="1">
      <c r="A371" s="16"/>
      <c r="L371" s="5"/>
    </row>
    <row r="372" spans="1:12" ht="15.75" customHeight="1">
      <c r="A372" s="16"/>
      <c r="L372" s="5"/>
    </row>
    <row r="373" spans="1:12" ht="15.75" customHeight="1">
      <c r="A373" s="16"/>
      <c r="L373" s="5"/>
    </row>
    <row r="374" spans="1:12" ht="15.75" customHeight="1">
      <c r="A374" s="16"/>
      <c r="L374" s="5"/>
    </row>
    <row r="375" spans="1:12" ht="15.75" customHeight="1">
      <c r="A375" s="16"/>
      <c r="L375" s="5"/>
    </row>
    <row r="376" spans="1:12" ht="15.75" customHeight="1">
      <c r="A376" s="16"/>
      <c r="L376" s="5"/>
    </row>
    <row r="377" spans="1:12" ht="15.75" customHeight="1">
      <c r="A377" s="16"/>
      <c r="L377" s="5"/>
    </row>
    <row r="378" spans="1:12" ht="15.75" customHeight="1">
      <c r="A378" s="16"/>
      <c r="L378" s="5"/>
    </row>
    <row r="379" spans="1:12" ht="15.75" customHeight="1">
      <c r="A379" s="16"/>
      <c r="L379" s="5"/>
    </row>
    <row r="380" spans="1:12" ht="15.75" customHeight="1">
      <c r="A380" s="16"/>
      <c r="L380" s="5"/>
    </row>
    <row r="381" spans="1:12" ht="15.75" customHeight="1">
      <c r="A381" s="16"/>
      <c r="L381" s="5"/>
    </row>
    <row r="382" spans="1:12" ht="15.75" customHeight="1">
      <c r="A382" s="16"/>
      <c r="L382" s="5"/>
    </row>
    <row r="383" spans="1:12" ht="15.75" customHeight="1">
      <c r="A383" s="16"/>
      <c r="L383" s="5"/>
    </row>
    <row r="384" spans="1:12" ht="15.75" customHeight="1">
      <c r="A384" s="16"/>
      <c r="L384" s="5"/>
    </row>
    <row r="385" spans="1:12" ht="15.75" customHeight="1">
      <c r="A385" s="16"/>
      <c r="L385" s="5"/>
    </row>
    <row r="386" spans="1:12" ht="15.75" customHeight="1">
      <c r="A386" s="16"/>
      <c r="L386" s="5"/>
    </row>
    <row r="387" spans="1:12" ht="15.75" customHeight="1">
      <c r="A387" s="16"/>
      <c r="L387" s="5"/>
    </row>
    <row r="388" spans="1:12" ht="15.75" customHeight="1">
      <c r="A388" s="16"/>
      <c r="L388" s="5"/>
    </row>
    <row r="389" spans="1:12" ht="15.75" customHeight="1">
      <c r="A389" s="16"/>
      <c r="L389" s="5"/>
    </row>
    <row r="390" spans="1:12" ht="15.75" customHeight="1">
      <c r="A390" s="16"/>
      <c r="L390" s="5"/>
    </row>
    <row r="391" spans="1:12" ht="15.75" customHeight="1">
      <c r="A391" s="16"/>
      <c r="L391" s="5"/>
    </row>
    <row r="392" spans="1:12" ht="15.75" customHeight="1">
      <c r="A392" s="16"/>
      <c r="L392" s="5"/>
    </row>
    <row r="393" spans="1:12" ht="15.75" customHeight="1">
      <c r="A393" s="16"/>
      <c r="L393" s="5"/>
    </row>
    <row r="394" spans="1:12" ht="15.75" customHeight="1">
      <c r="A394" s="16"/>
      <c r="L394" s="5"/>
    </row>
    <row r="395" spans="1:12" ht="15.75" customHeight="1">
      <c r="A395" s="16"/>
      <c r="L395" s="5"/>
    </row>
    <row r="396" spans="1:12" ht="15.75" customHeight="1">
      <c r="A396" s="16"/>
      <c r="L396" s="5"/>
    </row>
    <row r="397" spans="1:12" ht="15.75" customHeight="1">
      <c r="A397" s="16"/>
      <c r="L397" s="5"/>
    </row>
    <row r="398" spans="1:12" ht="15.75" customHeight="1">
      <c r="A398" s="16"/>
      <c r="L398" s="5"/>
    </row>
    <row r="399" spans="1:12" ht="15.75" customHeight="1">
      <c r="A399" s="16"/>
      <c r="L399" s="5"/>
    </row>
    <row r="400" spans="1:12" ht="15.75" customHeight="1">
      <c r="A400" s="16"/>
      <c r="L400" s="5"/>
    </row>
    <row r="401" spans="1:12" ht="15.75" customHeight="1">
      <c r="A401" s="16"/>
      <c r="L401" s="5"/>
    </row>
    <row r="402" spans="1:12" ht="15.75" customHeight="1">
      <c r="A402" s="16"/>
      <c r="L402" s="5"/>
    </row>
    <row r="403" spans="1:12" ht="15.75" customHeight="1">
      <c r="A403" s="16"/>
      <c r="L403" s="5"/>
    </row>
    <row r="404" spans="1:12" ht="15.75" customHeight="1">
      <c r="A404" s="16"/>
      <c r="L404" s="5"/>
    </row>
    <row r="405" spans="1:12" ht="15.75" customHeight="1">
      <c r="A405" s="16"/>
      <c r="L405" s="5"/>
    </row>
    <row r="406" spans="1:12" ht="15.75" customHeight="1">
      <c r="A406" s="16"/>
      <c r="L406" s="5"/>
    </row>
    <row r="407" spans="1:12" ht="15.75" customHeight="1">
      <c r="A407" s="16"/>
      <c r="L407" s="5"/>
    </row>
    <row r="408" spans="1:12" ht="15.75" customHeight="1">
      <c r="A408" s="16"/>
      <c r="L408" s="5"/>
    </row>
    <row r="409" spans="1:12" ht="15.75" customHeight="1">
      <c r="A409" s="16"/>
      <c r="L409" s="5"/>
    </row>
    <row r="410" spans="1:12" ht="15.75" customHeight="1">
      <c r="A410" s="16"/>
      <c r="L410" s="5"/>
    </row>
    <row r="411" spans="1:12" ht="15.75" customHeight="1">
      <c r="A411" s="16"/>
      <c r="L411" s="5"/>
    </row>
    <row r="412" spans="1:12" ht="15.75" customHeight="1">
      <c r="A412" s="16"/>
      <c r="L412" s="5"/>
    </row>
    <row r="413" spans="1:12" ht="15.75" customHeight="1">
      <c r="A413" s="16"/>
      <c r="L413" s="5"/>
    </row>
    <row r="414" spans="1:12" ht="15.75" customHeight="1">
      <c r="A414" s="16"/>
      <c r="L414" s="5"/>
    </row>
    <row r="415" spans="1:12" ht="15.75" customHeight="1">
      <c r="A415" s="16"/>
      <c r="L415" s="5"/>
    </row>
    <row r="416" spans="1:12" ht="15.75" customHeight="1">
      <c r="A416" s="16"/>
      <c r="L416" s="5"/>
    </row>
    <row r="417" spans="1:12" ht="15.75" customHeight="1">
      <c r="A417" s="16"/>
      <c r="L417" s="5"/>
    </row>
    <row r="418" spans="1:12" ht="15.75" customHeight="1">
      <c r="A418" s="16"/>
      <c r="L418" s="5"/>
    </row>
    <row r="419" spans="1:12" ht="15.75" customHeight="1">
      <c r="A419" s="16"/>
      <c r="L419" s="5"/>
    </row>
    <row r="420" spans="1:12" ht="15.75" customHeight="1">
      <c r="A420" s="16"/>
      <c r="L420" s="5"/>
    </row>
    <row r="421" spans="1:12" ht="15.75" customHeight="1">
      <c r="A421" s="16"/>
      <c r="L421" s="5"/>
    </row>
    <row r="422" spans="1:12" ht="15.75" customHeight="1">
      <c r="A422" s="16"/>
      <c r="L422" s="5"/>
    </row>
    <row r="423" spans="1:12" ht="15.75" customHeight="1">
      <c r="A423" s="16"/>
      <c r="L423" s="5"/>
    </row>
    <row r="424" spans="1:12" ht="15.75" customHeight="1">
      <c r="A424" s="16"/>
      <c r="L424" s="5"/>
    </row>
    <row r="425" spans="1:12" ht="15.75" customHeight="1">
      <c r="A425" s="16"/>
      <c r="L425" s="5"/>
    </row>
    <row r="426" spans="1:12" ht="15.75" customHeight="1">
      <c r="A426" s="16"/>
      <c r="L426" s="5"/>
    </row>
    <row r="427" spans="1:12" ht="15.75" customHeight="1">
      <c r="A427" s="16"/>
      <c r="L427" s="5"/>
    </row>
    <row r="428" spans="1:12" ht="15.75" customHeight="1">
      <c r="A428" s="16"/>
      <c r="L428" s="5"/>
    </row>
    <row r="429" spans="1:12" ht="15.75" customHeight="1">
      <c r="A429" s="16"/>
      <c r="L429" s="5"/>
    </row>
    <row r="430" spans="1:12" ht="15.75" customHeight="1">
      <c r="A430" s="16"/>
      <c r="L430" s="5"/>
    </row>
    <row r="431" spans="1:12" ht="15.75" customHeight="1">
      <c r="A431" s="16"/>
      <c r="L431" s="5"/>
    </row>
    <row r="432" spans="1:12" ht="15.75" customHeight="1">
      <c r="A432" s="16"/>
      <c r="L432" s="5"/>
    </row>
    <row r="433" spans="1:12" ht="15.75" customHeight="1">
      <c r="A433" s="16"/>
      <c r="L433" s="5"/>
    </row>
    <row r="434" spans="1:12" ht="15.75" customHeight="1">
      <c r="A434" s="16"/>
      <c r="L434" s="5"/>
    </row>
    <row r="435" spans="1:12" ht="15.75" customHeight="1">
      <c r="A435" s="16"/>
      <c r="L435" s="5"/>
    </row>
    <row r="436" spans="1:12" ht="15.75" customHeight="1">
      <c r="A436" s="16"/>
      <c r="L436" s="5"/>
    </row>
    <row r="437" spans="1:12" ht="15.75" customHeight="1">
      <c r="A437" s="16"/>
      <c r="L437" s="5"/>
    </row>
    <row r="438" spans="1:12" ht="15.75" customHeight="1">
      <c r="A438" s="16"/>
      <c r="L438" s="5"/>
    </row>
    <row r="439" spans="1:12" ht="15.75" customHeight="1">
      <c r="A439" s="16"/>
      <c r="L439" s="5"/>
    </row>
    <row r="440" spans="1:12" ht="15.75" customHeight="1">
      <c r="A440" s="16"/>
      <c r="L440" s="5"/>
    </row>
    <row r="441" spans="1:12" ht="15.75" customHeight="1">
      <c r="A441" s="16"/>
      <c r="L441" s="5"/>
    </row>
    <row r="442" spans="1:12" ht="15.75" customHeight="1">
      <c r="A442" s="16"/>
      <c r="L442" s="5"/>
    </row>
    <row r="443" spans="1:12" ht="15.75" customHeight="1">
      <c r="A443" s="16"/>
      <c r="L443" s="5"/>
    </row>
    <row r="444" spans="1:12" ht="15.75" customHeight="1">
      <c r="A444" s="16"/>
      <c r="L444" s="5"/>
    </row>
    <row r="445" spans="1:12" ht="15.75" customHeight="1">
      <c r="A445" s="16"/>
      <c r="L445" s="5"/>
    </row>
    <row r="446" spans="1:12" ht="15.75" customHeight="1">
      <c r="A446" s="16"/>
      <c r="L446" s="5"/>
    </row>
    <row r="447" spans="1:12" ht="15.75" customHeight="1">
      <c r="A447" s="16"/>
      <c r="L447" s="5"/>
    </row>
    <row r="448" spans="1:12" ht="15.75" customHeight="1">
      <c r="A448" s="16"/>
      <c r="L448" s="5"/>
    </row>
    <row r="449" spans="1:12" ht="15.75" customHeight="1">
      <c r="A449" s="16"/>
      <c r="L449" s="5"/>
    </row>
    <row r="450" spans="1:12" ht="15.75" customHeight="1">
      <c r="A450" s="16"/>
      <c r="L450" s="5"/>
    </row>
    <row r="451" spans="1:12" ht="15.75" customHeight="1">
      <c r="A451" s="16"/>
      <c r="L451" s="5"/>
    </row>
    <row r="452" spans="1:12" ht="15.75" customHeight="1">
      <c r="A452" s="16"/>
      <c r="L452" s="5"/>
    </row>
    <row r="453" spans="1:12" ht="15.75" customHeight="1">
      <c r="A453" s="16"/>
      <c r="L453" s="5"/>
    </row>
    <row r="454" spans="1:12" ht="15.75" customHeight="1">
      <c r="A454" s="16"/>
      <c r="L454" s="5"/>
    </row>
    <row r="455" spans="1:12" ht="15.75" customHeight="1">
      <c r="A455" s="16"/>
      <c r="L455" s="5"/>
    </row>
    <row r="456" spans="1:12" ht="15.75" customHeight="1">
      <c r="A456" s="16"/>
      <c r="L456" s="5"/>
    </row>
    <row r="457" spans="1:12" ht="15.75" customHeight="1">
      <c r="A457" s="16"/>
      <c r="L457" s="5"/>
    </row>
    <row r="458" spans="1:12" ht="15.75" customHeight="1">
      <c r="A458" s="16"/>
      <c r="L458" s="5"/>
    </row>
    <row r="459" spans="1:12" ht="15.75" customHeight="1">
      <c r="A459" s="16"/>
      <c r="L459" s="5"/>
    </row>
    <row r="460" spans="1:12" ht="15.75" customHeight="1">
      <c r="A460" s="16"/>
      <c r="L460" s="5"/>
    </row>
    <row r="461" spans="1:12" ht="15.75" customHeight="1">
      <c r="A461" s="16"/>
      <c r="L461" s="5"/>
    </row>
    <row r="462" spans="1:12" ht="15.75" customHeight="1">
      <c r="A462" s="16"/>
      <c r="L462" s="5"/>
    </row>
    <row r="463" spans="1:12" ht="15.75" customHeight="1">
      <c r="A463" s="16"/>
      <c r="L463" s="5"/>
    </row>
    <row r="464" spans="1:12" ht="15.75" customHeight="1">
      <c r="A464" s="16"/>
      <c r="L464" s="5"/>
    </row>
    <row r="465" spans="1:12" ht="15.75" customHeight="1">
      <c r="A465" s="16"/>
      <c r="L465" s="5"/>
    </row>
    <row r="466" spans="1:12" ht="15.75" customHeight="1">
      <c r="A466" s="16"/>
      <c r="L466" s="5"/>
    </row>
    <row r="467" spans="1:12" ht="15.75" customHeight="1">
      <c r="A467" s="16"/>
      <c r="L467" s="5"/>
    </row>
    <row r="468" spans="1:12" ht="15.75" customHeight="1">
      <c r="A468" s="16"/>
      <c r="L468" s="5"/>
    </row>
    <row r="469" spans="1:12" ht="15.75" customHeight="1">
      <c r="A469" s="16"/>
      <c r="L469" s="5"/>
    </row>
    <row r="470" spans="1:12" ht="15.75" customHeight="1">
      <c r="A470" s="16"/>
      <c r="L470" s="5"/>
    </row>
    <row r="471" spans="1:12" ht="15.75" customHeight="1">
      <c r="A471" s="16"/>
      <c r="L471" s="5"/>
    </row>
    <row r="472" spans="1:12" ht="15.75" customHeight="1">
      <c r="A472" s="16"/>
      <c r="L472" s="5"/>
    </row>
    <row r="473" spans="1:12" ht="15.75" customHeight="1">
      <c r="A473" s="16"/>
      <c r="L473" s="5"/>
    </row>
    <row r="474" spans="1:12" ht="15.75" customHeight="1">
      <c r="A474" s="16"/>
      <c r="L474" s="5"/>
    </row>
    <row r="475" spans="1:12" ht="15.75" customHeight="1">
      <c r="A475" s="16"/>
      <c r="L475" s="5"/>
    </row>
    <row r="476" spans="1:12" ht="15.75" customHeight="1">
      <c r="A476" s="16"/>
      <c r="L476" s="5"/>
    </row>
    <row r="477" spans="1:12" ht="15.75" customHeight="1">
      <c r="A477" s="16"/>
      <c r="L477" s="5"/>
    </row>
    <row r="478" spans="1:12" ht="15.75" customHeight="1">
      <c r="A478" s="16"/>
      <c r="L478" s="5"/>
    </row>
    <row r="479" spans="1:12" ht="15.75" customHeight="1">
      <c r="A479" s="16"/>
      <c r="L479" s="5"/>
    </row>
    <row r="480" spans="1:12" ht="15.75" customHeight="1">
      <c r="A480" s="16"/>
      <c r="L480" s="5"/>
    </row>
    <row r="481" spans="1:12" ht="15.75" customHeight="1">
      <c r="A481" s="16"/>
      <c r="L481" s="5"/>
    </row>
    <row r="482" spans="1:12" ht="15.75" customHeight="1">
      <c r="A482" s="16"/>
      <c r="L482" s="5"/>
    </row>
    <row r="483" spans="1:12" ht="15.75" customHeight="1">
      <c r="A483" s="16"/>
      <c r="L483" s="5"/>
    </row>
    <row r="484" spans="1:12" ht="15.75" customHeight="1">
      <c r="A484" s="16"/>
      <c r="L484" s="5"/>
    </row>
    <row r="485" spans="1:12" ht="15.75" customHeight="1">
      <c r="A485" s="16"/>
      <c r="L485" s="5"/>
    </row>
    <row r="486" spans="1:12" ht="15.75" customHeight="1">
      <c r="A486" s="16"/>
      <c r="L486" s="5"/>
    </row>
    <row r="487" spans="1:12" ht="15.75" customHeight="1">
      <c r="A487" s="16"/>
      <c r="L487" s="5"/>
    </row>
    <row r="488" spans="1:12" ht="15.75" customHeight="1">
      <c r="A488" s="16"/>
      <c r="L488" s="5"/>
    </row>
    <row r="489" spans="1:12" ht="15.75" customHeight="1">
      <c r="A489" s="16"/>
      <c r="L489" s="5"/>
    </row>
    <row r="490" spans="1:12" ht="15.75" customHeight="1">
      <c r="A490" s="16"/>
      <c r="L490" s="5"/>
    </row>
    <row r="491" spans="1:12" ht="15.75" customHeight="1">
      <c r="A491" s="16"/>
      <c r="L491" s="5"/>
    </row>
    <row r="492" spans="1:12" ht="15.75" customHeight="1">
      <c r="A492" s="16"/>
      <c r="L492" s="5"/>
    </row>
    <row r="493" spans="1:12" ht="15.75" customHeight="1">
      <c r="A493" s="16"/>
      <c r="L493" s="5"/>
    </row>
    <row r="494" spans="1:12" ht="15.75" customHeight="1">
      <c r="A494" s="16"/>
      <c r="L494" s="5"/>
    </row>
    <row r="495" spans="1:12" ht="15.75" customHeight="1">
      <c r="A495" s="16"/>
      <c r="L495" s="5"/>
    </row>
    <row r="496" spans="1:12" ht="15.75" customHeight="1">
      <c r="A496" s="16"/>
      <c r="L496" s="5"/>
    </row>
    <row r="497" spans="1:12" ht="15.75" customHeight="1">
      <c r="A497" s="16"/>
      <c r="L497" s="5"/>
    </row>
    <row r="498" spans="1:12" ht="15.75" customHeight="1">
      <c r="A498" s="16"/>
      <c r="L498" s="5"/>
    </row>
    <row r="499" spans="1:12" ht="15.75" customHeight="1">
      <c r="A499" s="16"/>
      <c r="L499" s="5"/>
    </row>
    <row r="500" spans="1:12" ht="15.75" customHeight="1">
      <c r="A500" s="16"/>
      <c r="L500" s="5"/>
    </row>
    <row r="501" spans="1:12" ht="15.75" customHeight="1">
      <c r="A501" s="16"/>
      <c r="L501" s="5"/>
    </row>
    <row r="502" spans="1:12" ht="15.75" customHeight="1">
      <c r="A502" s="16"/>
      <c r="L502" s="5"/>
    </row>
    <row r="503" spans="1:12" ht="15.75" customHeight="1">
      <c r="A503" s="16"/>
      <c r="L503" s="5"/>
    </row>
    <row r="504" spans="1:12" ht="15.75" customHeight="1">
      <c r="A504" s="16"/>
      <c r="L504" s="5"/>
    </row>
    <row r="505" spans="1:12" ht="15.75" customHeight="1">
      <c r="A505" s="16"/>
      <c r="L505" s="5"/>
    </row>
    <row r="506" spans="1:12" ht="15.75" customHeight="1">
      <c r="A506" s="16"/>
      <c r="L506" s="5"/>
    </row>
    <row r="507" spans="1:12" ht="15.75" customHeight="1">
      <c r="A507" s="16"/>
      <c r="L507" s="5"/>
    </row>
    <row r="508" spans="1:12" ht="15.75" customHeight="1">
      <c r="A508" s="16"/>
      <c r="L508" s="5"/>
    </row>
    <row r="509" spans="1:12" ht="15.75" customHeight="1">
      <c r="A509" s="16"/>
      <c r="L509" s="5"/>
    </row>
    <row r="510" spans="1:12" ht="15.75" customHeight="1">
      <c r="A510" s="16"/>
      <c r="L510" s="5"/>
    </row>
    <row r="511" spans="1:12" ht="15.75" customHeight="1">
      <c r="A511" s="16"/>
      <c r="L511" s="5"/>
    </row>
    <row r="512" spans="1:12" ht="15.75" customHeight="1">
      <c r="A512" s="16"/>
      <c r="L512" s="5"/>
    </row>
    <row r="513" spans="1:12" ht="15.75" customHeight="1">
      <c r="A513" s="16"/>
      <c r="L513" s="5"/>
    </row>
    <row r="514" spans="1:12" ht="15.75" customHeight="1">
      <c r="A514" s="16"/>
      <c r="L514" s="5"/>
    </row>
    <row r="515" spans="1:12" ht="15.75" customHeight="1">
      <c r="A515" s="16"/>
      <c r="L515" s="5"/>
    </row>
    <row r="516" spans="1:12" ht="15.75" customHeight="1">
      <c r="A516" s="16"/>
      <c r="L516" s="5"/>
    </row>
    <row r="517" spans="1:12" ht="15.75" customHeight="1">
      <c r="A517" s="16"/>
      <c r="L517" s="5"/>
    </row>
    <row r="518" spans="1:12" ht="15.75" customHeight="1">
      <c r="A518" s="16"/>
      <c r="L518" s="5"/>
    </row>
    <row r="519" spans="1:12" ht="15.75" customHeight="1">
      <c r="A519" s="16"/>
      <c r="L519" s="5"/>
    </row>
    <row r="520" spans="1:12" ht="15.75" customHeight="1">
      <c r="A520" s="16"/>
      <c r="L520" s="5"/>
    </row>
    <row r="521" spans="1:12" ht="15.75" customHeight="1">
      <c r="A521" s="16"/>
      <c r="L521" s="5"/>
    </row>
    <row r="522" spans="1:12" ht="15.75" customHeight="1">
      <c r="A522" s="16"/>
      <c r="L522" s="5"/>
    </row>
    <row r="523" spans="1:12" ht="15.75" customHeight="1">
      <c r="A523" s="16"/>
      <c r="L523" s="5"/>
    </row>
    <row r="524" spans="1:12" ht="15.75" customHeight="1">
      <c r="A524" s="16"/>
      <c r="L524" s="5"/>
    </row>
    <row r="525" spans="1:12" ht="15.75" customHeight="1">
      <c r="A525" s="16"/>
      <c r="L525" s="5"/>
    </row>
    <row r="526" spans="1:12" ht="15.75" customHeight="1">
      <c r="A526" s="16"/>
      <c r="L526" s="5"/>
    </row>
    <row r="527" spans="1:12" ht="15.75" customHeight="1">
      <c r="A527" s="16"/>
      <c r="L527" s="5"/>
    </row>
    <row r="528" spans="1:12" ht="15.75" customHeight="1">
      <c r="A528" s="16"/>
      <c r="L528" s="5"/>
    </row>
    <row r="529" spans="1:12" ht="15.75" customHeight="1">
      <c r="A529" s="16"/>
      <c r="L529" s="5"/>
    </row>
    <row r="530" spans="1:12" ht="15.75" customHeight="1">
      <c r="A530" s="16"/>
      <c r="L530" s="5"/>
    </row>
    <row r="531" spans="1:12" ht="15.75" customHeight="1">
      <c r="A531" s="16"/>
      <c r="L531" s="5"/>
    </row>
    <row r="532" spans="1:12" ht="15.75" customHeight="1">
      <c r="A532" s="16"/>
      <c r="L532" s="5"/>
    </row>
    <row r="533" spans="1:12" ht="15.75" customHeight="1">
      <c r="A533" s="16"/>
      <c r="L533" s="5"/>
    </row>
    <row r="534" spans="1:12" ht="15.75" customHeight="1">
      <c r="A534" s="16"/>
      <c r="L534" s="5"/>
    </row>
    <row r="535" spans="1:12" ht="15.75" customHeight="1">
      <c r="A535" s="16"/>
      <c r="L535" s="5"/>
    </row>
    <row r="536" spans="1:12" ht="15.75" customHeight="1">
      <c r="A536" s="16"/>
      <c r="L536" s="5"/>
    </row>
    <row r="537" spans="1:12" ht="15.75" customHeight="1">
      <c r="A537" s="16"/>
      <c r="L537" s="5"/>
    </row>
    <row r="538" spans="1:12" ht="15.75" customHeight="1">
      <c r="A538" s="16"/>
      <c r="L538" s="5"/>
    </row>
    <row r="539" spans="1:12" ht="15.75" customHeight="1">
      <c r="A539" s="16"/>
      <c r="L539" s="5"/>
    </row>
    <row r="540" spans="1:12" ht="15.75" customHeight="1">
      <c r="A540" s="16"/>
      <c r="L540" s="5"/>
    </row>
    <row r="541" spans="1:12" ht="15.75" customHeight="1">
      <c r="A541" s="16"/>
      <c r="L541" s="5"/>
    </row>
    <row r="542" spans="1:12" ht="15.75" customHeight="1">
      <c r="A542" s="16"/>
      <c r="L542" s="5"/>
    </row>
    <row r="543" spans="1:12" ht="15.75" customHeight="1">
      <c r="A543" s="16"/>
      <c r="L543" s="5"/>
    </row>
    <row r="544" spans="1:12" ht="15.75" customHeight="1">
      <c r="A544" s="16"/>
      <c r="L544" s="5"/>
    </row>
    <row r="545" spans="1:12" ht="15.75" customHeight="1">
      <c r="A545" s="16"/>
      <c r="L545" s="5"/>
    </row>
    <row r="546" spans="1:12" ht="15.75" customHeight="1">
      <c r="A546" s="16"/>
      <c r="L546" s="5"/>
    </row>
    <row r="547" spans="1:12" ht="15.75" customHeight="1">
      <c r="A547" s="16"/>
      <c r="L547" s="5"/>
    </row>
    <row r="548" spans="1:12" ht="15.75" customHeight="1">
      <c r="A548" s="16"/>
      <c r="L548" s="5"/>
    </row>
    <row r="549" spans="1:12" ht="15.75" customHeight="1">
      <c r="A549" s="16"/>
      <c r="L549" s="5"/>
    </row>
    <row r="550" spans="1:12" ht="15.75" customHeight="1">
      <c r="A550" s="16"/>
      <c r="L550" s="5"/>
    </row>
    <row r="551" spans="1:12" ht="15.75" customHeight="1">
      <c r="A551" s="16"/>
      <c r="L551" s="5"/>
    </row>
    <row r="552" spans="1:12" ht="15.75" customHeight="1">
      <c r="A552" s="16"/>
      <c r="L552" s="5"/>
    </row>
    <row r="553" spans="1:12" ht="15.75" customHeight="1">
      <c r="A553" s="16"/>
      <c r="L553" s="5"/>
    </row>
    <row r="554" spans="1:12" ht="15.75" customHeight="1">
      <c r="A554" s="16"/>
      <c r="L554" s="5"/>
    </row>
    <row r="555" spans="1:12" ht="15.75" customHeight="1">
      <c r="A555" s="16"/>
      <c r="L555" s="5"/>
    </row>
    <row r="556" spans="1:12" ht="15.75" customHeight="1">
      <c r="A556" s="16"/>
      <c r="L556" s="5"/>
    </row>
    <row r="557" spans="1:12" ht="15.75" customHeight="1">
      <c r="A557" s="16"/>
      <c r="L557" s="5"/>
    </row>
    <row r="558" spans="1:12" ht="15.75" customHeight="1">
      <c r="A558" s="16"/>
      <c r="L558" s="5"/>
    </row>
    <row r="559" spans="1:12" ht="15.75" customHeight="1">
      <c r="A559" s="16"/>
      <c r="L559" s="5"/>
    </row>
    <row r="560" spans="1:12" ht="15.75" customHeight="1">
      <c r="A560" s="16"/>
      <c r="L560" s="5"/>
    </row>
    <row r="561" spans="1:12" ht="15.75" customHeight="1">
      <c r="A561" s="16"/>
      <c r="L561" s="5"/>
    </row>
    <row r="562" spans="1:12" ht="15.75" customHeight="1">
      <c r="A562" s="16"/>
      <c r="L562" s="5"/>
    </row>
    <row r="563" spans="1:12" ht="15.75" customHeight="1">
      <c r="A563" s="16"/>
      <c r="L563" s="5"/>
    </row>
    <row r="564" spans="1:12" ht="15.75" customHeight="1">
      <c r="A564" s="16"/>
      <c r="L564" s="5"/>
    </row>
    <row r="565" spans="1:12" ht="15.75" customHeight="1">
      <c r="A565" s="16"/>
      <c r="L565" s="5"/>
    </row>
    <row r="566" spans="1:12" ht="15.75" customHeight="1">
      <c r="A566" s="16"/>
      <c r="L566" s="5"/>
    </row>
    <row r="567" spans="1:12" ht="15.75" customHeight="1">
      <c r="A567" s="16"/>
      <c r="L567" s="5"/>
    </row>
    <row r="568" spans="1:12" ht="15.75" customHeight="1">
      <c r="A568" s="16"/>
      <c r="L568" s="5"/>
    </row>
    <row r="569" spans="1:12" ht="15.75" customHeight="1">
      <c r="A569" s="16"/>
      <c r="L569" s="5"/>
    </row>
    <row r="570" spans="1:12" ht="15.75" customHeight="1">
      <c r="A570" s="16"/>
      <c r="L570" s="5"/>
    </row>
    <row r="571" spans="1:12" ht="15.75" customHeight="1">
      <c r="A571" s="16"/>
      <c r="L571" s="5"/>
    </row>
    <row r="572" spans="1:12" ht="15.75" customHeight="1">
      <c r="A572" s="16"/>
      <c r="L572" s="5"/>
    </row>
    <row r="573" spans="1:12" ht="15.75" customHeight="1">
      <c r="A573" s="16"/>
      <c r="L573" s="5"/>
    </row>
    <row r="574" spans="1:12" ht="15.75" customHeight="1">
      <c r="A574" s="16"/>
      <c r="L574" s="5"/>
    </row>
    <row r="575" spans="1:12" ht="15.75" customHeight="1">
      <c r="A575" s="16"/>
      <c r="L575" s="5"/>
    </row>
    <row r="576" spans="1:12" ht="15.75" customHeight="1">
      <c r="A576" s="16"/>
      <c r="L576" s="5"/>
    </row>
    <row r="577" spans="1:12" ht="15.75" customHeight="1">
      <c r="A577" s="16"/>
      <c r="L577" s="5"/>
    </row>
    <row r="578" spans="1:12" ht="15.75" customHeight="1">
      <c r="A578" s="16"/>
      <c r="L578" s="5"/>
    </row>
    <row r="579" spans="1:12" ht="15.75" customHeight="1">
      <c r="A579" s="16"/>
      <c r="L579" s="5"/>
    </row>
    <row r="580" spans="1:12" ht="15.75" customHeight="1">
      <c r="A580" s="16"/>
      <c r="L580" s="5"/>
    </row>
    <row r="581" spans="1:12" ht="15.75" customHeight="1">
      <c r="A581" s="16"/>
      <c r="L581" s="5"/>
    </row>
    <row r="582" spans="1:12" ht="15.75" customHeight="1">
      <c r="A582" s="16"/>
      <c r="L582" s="5"/>
    </row>
    <row r="583" spans="1:12" ht="15.75" customHeight="1">
      <c r="A583" s="16"/>
      <c r="L583" s="5"/>
    </row>
    <row r="584" spans="1:12" ht="15.75" customHeight="1">
      <c r="A584" s="16"/>
      <c r="L584" s="5"/>
    </row>
    <row r="585" spans="1:12" ht="15.75" customHeight="1">
      <c r="A585" s="16"/>
      <c r="L585" s="5"/>
    </row>
    <row r="586" spans="1:12" ht="15.75" customHeight="1">
      <c r="A586" s="16"/>
      <c r="L586" s="5"/>
    </row>
    <row r="587" spans="1:12" ht="15.75" customHeight="1">
      <c r="A587" s="16"/>
      <c r="L587" s="5"/>
    </row>
    <row r="588" spans="1:12" ht="15.75" customHeight="1">
      <c r="A588" s="16"/>
      <c r="L588" s="5"/>
    </row>
    <row r="589" spans="1:12" ht="15.75" customHeight="1">
      <c r="A589" s="16"/>
      <c r="L589" s="5"/>
    </row>
    <row r="590" spans="1:12" ht="15.75" customHeight="1">
      <c r="A590" s="16"/>
      <c r="L590" s="5"/>
    </row>
    <row r="591" spans="1:12" ht="15.75" customHeight="1">
      <c r="A591" s="16"/>
      <c r="L591" s="5"/>
    </row>
    <row r="592" spans="1:12" ht="15.75" customHeight="1">
      <c r="A592" s="16"/>
      <c r="L592" s="5"/>
    </row>
    <row r="593" spans="1:12" ht="15.75" customHeight="1">
      <c r="A593" s="16"/>
      <c r="L593" s="5"/>
    </row>
    <row r="594" spans="1:12" ht="15.75" customHeight="1">
      <c r="A594" s="16"/>
      <c r="L594" s="5"/>
    </row>
    <row r="595" spans="1:12" ht="15.75" customHeight="1">
      <c r="A595" s="16"/>
      <c r="L595" s="5"/>
    </row>
    <row r="596" spans="1:12" ht="15.75" customHeight="1">
      <c r="A596" s="16"/>
      <c r="L596" s="5"/>
    </row>
    <row r="597" spans="1:12" ht="15.75" customHeight="1">
      <c r="A597" s="16"/>
      <c r="L597" s="5"/>
    </row>
    <row r="598" spans="1:12" ht="15.75" customHeight="1">
      <c r="A598" s="16"/>
      <c r="L598" s="5"/>
    </row>
    <row r="599" spans="1:12" ht="15.75" customHeight="1">
      <c r="A599" s="16"/>
      <c r="L599" s="5"/>
    </row>
    <row r="600" spans="1:12" ht="15.75" customHeight="1">
      <c r="A600" s="16"/>
      <c r="L600" s="5"/>
    </row>
    <row r="601" spans="1:12" ht="15.75" customHeight="1">
      <c r="A601" s="16"/>
      <c r="L601" s="5"/>
    </row>
    <row r="602" spans="1:12" ht="15.75" customHeight="1">
      <c r="A602" s="16"/>
      <c r="L602" s="5"/>
    </row>
    <row r="603" spans="1:12" ht="15.75" customHeight="1">
      <c r="A603" s="16"/>
      <c r="L603" s="5"/>
    </row>
    <row r="604" spans="1:12" ht="15.75" customHeight="1">
      <c r="A604" s="16"/>
      <c r="L604" s="5"/>
    </row>
    <row r="605" spans="1:12" ht="15.75" customHeight="1">
      <c r="A605" s="16"/>
      <c r="L605" s="5"/>
    </row>
    <row r="606" spans="1:12" ht="15.75" customHeight="1">
      <c r="A606" s="16"/>
      <c r="L606" s="5"/>
    </row>
    <row r="607" spans="1:12" ht="15.75" customHeight="1">
      <c r="A607" s="16"/>
      <c r="L607" s="5"/>
    </row>
    <row r="608" spans="1:12" ht="15.75" customHeight="1">
      <c r="A608" s="16"/>
      <c r="L608" s="5"/>
    </row>
    <row r="609" spans="1:12" ht="15.75" customHeight="1">
      <c r="A609" s="16"/>
      <c r="L609" s="5"/>
    </row>
    <row r="610" spans="1:12" ht="15.75" customHeight="1">
      <c r="A610" s="16"/>
      <c r="L610" s="5"/>
    </row>
    <row r="611" spans="1:12" ht="15.75" customHeight="1">
      <c r="A611" s="16"/>
      <c r="L611" s="5"/>
    </row>
    <row r="612" spans="1:12" ht="15.75" customHeight="1">
      <c r="A612" s="16"/>
      <c r="L612" s="5"/>
    </row>
    <row r="613" spans="1:12" ht="15.75" customHeight="1">
      <c r="A613" s="16"/>
      <c r="L613" s="5"/>
    </row>
    <row r="614" spans="1:12" ht="15.75" customHeight="1">
      <c r="A614" s="16"/>
      <c r="L614" s="5"/>
    </row>
    <row r="615" spans="1:12" ht="15.75" customHeight="1">
      <c r="A615" s="16"/>
      <c r="L615" s="5"/>
    </row>
    <row r="616" spans="1:12" ht="15.75" customHeight="1">
      <c r="A616" s="16"/>
      <c r="L616" s="5"/>
    </row>
    <row r="617" spans="1:12" ht="15.75" customHeight="1">
      <c r="A617" s="16"/>
      <c r="L617" s="5"/>
    </row>
    <row r="618" spans="1:12" ht="15.75" customHeight="1">
      <c r="A618" s="16"/>
      <c r="L618" s="5"/>
    </row>
    <row r="619" spans="1:12" ht="15.75" customHeight="1">
      <c r="A619" s="16"/>
      <c r="L619" s="5"/>
    </row>
    <row r="620" spans="1:12" ht="15.75" customHeight="1">
      <c r="A620" s="16"/>
      <c r="L620" s="5"/>
    </row>
    <row r="621" spans="1:12" ht="15.75" customHeight="1">
      <c r="A621" s="16"/>
      <c r="L621" s="5"/>
    </row>
    <row r="622" spans="1:12" ht="15.75" customHeight="1">
      <c r="A622" s="16"/>
      <c r="L622" s="5"/>
    </row>
    <row r="623" spans="1:12" ht="15.75" customHeight="1">
      <c r="A623" s="16"/>
      <c r="L623" s="5"/>
    </row>
    <row r="624" spans="1:12" ht="15.75" customHeight="1">
      <c r="A624" s="16"/>
      <c r="L624" s="5"/>
    </row>
    <row r="625" spans="1:12" ht="15.75" customHeight="1">
      <c r="A625" s="16"/>
      <c r="L625" s="5"/>
    </row>
    <row r="626" spans="1:12" ht="15.75" customHeight="1">
      <c r="A626" s="16"/>
      <c r="L626" s="5"/>
    </row>
    <row r="627" spans="1:12" ht="15.75" customHeight="1">
      <c r="A627" s="16"/>
      <c r="L627" s="5"/>
    </row>
    <row r="628" spans="1:12" ht="15.75" customHeight="1">
      <c r="A628" s="16"/>
      <c r="L628" s="5"/>
    </row>
    <row r="629" spans="1:12" ht="15.75" customHeight="1">
      <c r="A629" s="16"/>
      <c r="L629" s="5"/>
    </row>
    <row r="630" spans="1:12" ht="15.75" customHeight="1">
      <c r="A630" s="16"/>
      <c r="L630" s="5"/>
    </row>
    <row r="631" spans="1:12" ht="15.75" customHeight="1">
      <c r="A631" s="16"/>
      <c r="L631" s="5"/>
    </row>
    <row r="632" spans="1:12" ht="15.75" customHeight="1">
      <c r="A632" s="16"/>
      <c r="L632" s="5"/>
    </row>
    <row r="633" spans="1:12" ht="15.75" customHeight="1">
      <c r="A633" s="16"/>
      <c r="L633" s="5"/>
    </row>
    <row r="634" spans="1:12" ht="15.75" customHeight="1">
      <c r="A634" s="16"/>
      <c r="L634" s="5"/>
    </row>
    <row r="635" spans="1:12" ht="15.75" customHeight="1">
      <c r="A635" s="16"/>
      <c r="L635" s="5"/>
    </row>
    <row r="636" spans="1:12" ht="15.75" customHeight="1">
      <c r="A636" s="16"/>
      <c r="L636" s="5"/>
    </row>
    <row r="637" spans="1:12" ht="15.75" customHeight="1">
      <c r="A637" s="16"/>
      <c r="L637" s="5"/>
    </row>
    <row r="638" spans="1:12" ht="15.75" customHeight="1">
      <c r="A638" s="16"/>
      <c r="L638" s="5"/>
    </row>
    <row r="639" spans="1:12" ht="15.75" customHeight="1">
      <c r="A639" s="16"/>
      <c r="L639" s="5"/>
    </row>
    <row r="640" spans="1:12" ht="15.75" customHeight="1">
      <c r="A640" s="16"/>
      <c r="L640" s="5"/>
    </row>
    <row r="641" spans="1:12" ht="15.75" customHeight="1">
      <c r="A641" s="16"/>
      <c r="L641" s="5"/>
    </row>
    <row r="642" spans="1:12" ht="15.75" customHeight="1">
      <c r="A642" s="16"/>
      <c r="L642" s="5"/>
    </row>
    <row r="643" spans="1:12" ht="15.75" customHeight="1">
      <c r="A643" s="16"/>
      <c r="L643" s="5"/>
    </row>
    <row r="644" spans="1:12" ht="15.75" customHeight="1">
      <c r="A644" s="16"/>
      <c r="L644" s="5"/>
    </row>
    <row r="645" spans="1:12" ht="15.75" customHeight="1">
      <c r="A645" s="16"/>
      <c r="L645" s="5"/>
    </row>
    <row r="646" spans="1:12" ht="15.75" customHeight="1">
      <c r="A646" s="16"/>
      <c r="L646" s="5"/>
    </row>
    <row r="647" spans="1:12" ht="15.75" customHeight="1">
      <c r="A647" s="16"/>
      <c r="L647" s="5"/>
    </row>
    <row r="648" spans="1:12" ht="15.75" customHeight="1">
      <c r="A648" s="16"/>
      <c r="L648" s="5"/>
    </row>
    <row r="649" spans="1:12" ht="15.75" customHeight="1">
      <c r="A649" s="16"/>
      <c r="L649" s="5"/>
    </row>
    <row r="650" spans="1:12" ht="15.75" customHeight="1">
      <c r="A650" s="16"/>
      <c r="L650" s="5"/>
    </row>
    <row r="651" spans="1:12" ht="15.75" customHeight="1">
      <c r="A651" s="16"/>
      <c r="L651" s="5"/>
    </row>
    <row r="652" spans="1:12" ht="15.75" customHeight="1">
      <c r="A652" s="16"/>
      <c r="L652" s="5"/>
    </row>
    <row r="653" spans="1:12" ht="15.75" customHeight="1">
      <c r="A653" s="16"/>
      <c r="L653" s="5"/>
    </row>
    <row r="654" spans="1:12" ht="15.75" customHeight="1">
      <c r="A654" s="16"/>
      <c r="L654" s="5"/>
    </row>
    <row r="655" spans="1:12" ht="15.75" customHeight="1">
      <c r="A655" s="16"/>
      <c r="L655" s="5"/>
    </row>
    <row r="656" spans="1:12" ht="15.75" customHeight="1">
      <c r="A656" s="16"/>
      <c r="L656" s="5"/>
    </row>
    <row r="657" spans="1:12" ht="15.75" customHeight="1">
      <c r="A657" s="16"/>
      <c r="L657" s="5"/>
    </row>
    <row r="658" spans="1:12" ht="15.75" customHeight="1">
      <c r="A658" s="16"/>
      <c r="L658" s="5"/>
    </row>
    <row r="659" spans="1:12" ht="15.75" customHeight="1">
      <c r="A659" s="16"/>
      <c r="L659" s="5"/>
    </row>
    <row r="660" spans="1:12" ht="15.75" customHeight="1">
      <c r="A660" s="16"/>
      <c r="L660" s="5"/>
    </row>
    <row r="661" spans="1:12" ht="15.75" customHeight="1">
      <c r="A661" s="16"/>
      <c r="L661" s="5"/>
    </row>
    <row r="662" spans="1:12" ht="15.75" customHeight="1">
      <c r="A662" s="16"/>
      <c r="L662" s="5"/>
    </row>
    <row r="663" spans="1:12" ht="15.75" customHeight="1">
      <c r="A663" s="16"/>
      <c r="L663" s="5"/>
    </row>
    <row r="664" spans="1:12" ht="15.75" customHeight="1">
      <c r="A664" s="16"/>
      <c r="L664" s="5"/>
    </row>
    <row r="665" spans="1:12" ht="15.75" customHeight="1">
      <c r="A665" s="16"/>
      <c r="L665" s="5"/>
    </row>
    <row r="666" spans="1:12" ht="15.75" customHeight="1">
      <c r="A666" s="16"/>
      <c r="L666" s="5"/>
    </row>
    <row r="667" spans="1:12" ht="15.75" customHeight="1">
      <c r="A667" s="16"/>
      <c r="L667" s="5"/>
    </row>
    <row r="668" spans="1:12" ht="15.75" customHeight="1">
      <c r="A668" s="16"/>
      <c r="L668" s="5"/>
    </row>
    <row r="669" spans="1:12" ht="15.75" customHeight="1">
      <c r="A669" s="16"/>
      <c r="L669" s="5"/>
    </row>
    <row r="670" spans="1:12" ht="15.75" customHeight="1">
      <c r="A670" s="16"/>
      <c r="L670" s="5"/>
    </row>
    <row r="671" spans="1:12" ht="15.75" customHeight="1">
      <c r="A671" s="16"/>
      <c r="L671" s="5"/>
    </row>
    <row r="672" spans="1:12" ht="15.75" customHeight="1">
      <c r="A672" s="16"/>
      <c r="L672" s="5"/>
    </row>
    <row r="673" spans="1:12" ht="15.75" customHeight="1">
      <c r="A673" s="16"/>
      <c r="L673" s="5"/>
    </row>
    <row r="674" spans="1:12" ht="15.75" customHeight="1">
      <c r="A674" s="16"/>
      <c r="L674" s="5"/>
    </row>
    <row r="675" spans="1:12" ht="15.75" customHeight="1">
      <c r="A675" s="16"/>
      <c r="L675" s="5"/>
    </row>
    <row r="676" spans="1:12" ht="15.75" customHeight="1">
      <c r="A676" s="16"/>
      <c r="L676" s="5"/>
    </row>
    <row r="677" spans="1:12" ht="15.75" customHeight="1">
      <c r="A677" s="16"/>
      <c r="L677" s="5"/>
    </row>
    <row r="678" spans="1:12" ht="15.75" customHeight="1">
      <c r="A678" s="16"/>
      <c r="L678" s="5"/>
    </row>
    <row r="679" spans="1:12" ht="15.75" customHeight="1">
      <c r="A679" s="16"/>
      <c r="L679" s="5"/>
    </row>
    <row r="680" spans="1:12" ht="15.75" customHeight="1">
      <c r="A680" s="16"/>
      <c r="L680" s="5"/>
    </row>
    <row r="681" spans="1:12" ht="15.75" customHeight="1">
      <c r="A681" s="16"/>
      <c r="L681" s="5"/>
    </row>
    <row r="682" spans="1:12" ht="15.75" customHeight="1">
      <c r="A682" s="16"/>
      <c r="L682" s="5"/>
    </row>
    <row r="683" spans="1:12" ht="15.75" customHeight="1">
      <c r="A683" s="16"/>
      <c r="L683" s="5"/>
    </row>
    <row r="684" spans="1:12" ht="15.75" customHeight="1">
      <c r="A684" s="16"/>
      <c r="L684" s="5"/>
    </row>
    <row r="685" spans="1:12" ht="15.75" customHeight="1">
      <c r="A685" s="16"/>
      <c r="L685" s="5"/>
    </row>
    <row r="686" spans="1:12" ht="15.75" customHeight="1">
      <c r="A686" s="16"/>
      <c r="L686" s="5"/>
    </row>
    <row r="687" spans="1:12" ht="15.75" customHeight="1">
      <c r="A687" s="16"/>
      <c r="L687" s="5"/>
    </row>
    <row r="688" spans="1:12" ht="15.75" customHeight="1">
      <c r="A688" s="16"/>
      <c r="L688" s="5"/>
    </row>
    <row r="689" spans="1:12" ht="15.75" customHeight="1">
      <c r="A689" s="16"/>
      <c r="L689" s="5"/>
    </row>
    <row r="690" spans="1:12" ht="15.75" customHeight="1">
      <c r="A690" s="16"/>
      <c r="L690" s="5"/>
    </row>
    <row r="691" spans="1:12" ht="15.75" customHeight="1">
      <c r="A691" s="16"/>
      <c r="L691" s="5"/>
    </row>
    <row r="692" spans="1:12" ht="15.75" customHeight="1">
      <c r="A692" s="16"/>
      <c r="L692" s="5"/>
    </row>
    <row r="693" spans="1:12" ht="15.75" customHeight="1">
      <c r="A693" s="16"/>
      <c r="L693" s="5"/>
    </row>
    <row r="694" spans="1:12" ht="15.75" customHeight="1">
      <c r="A694" s="16"/>
      <c r="L694" s="5"/>
    </row>
    <row r="695" spans="1:12" ht="15.75" customHeight="1">
      <c r="A695" s="16"/>
      <c r="L695" s="5"/>
    </row>
    <row r="696" spans="1:12" ht="15.75" customHeight="1">
      <c r="A696" s="16"/>
      <c r="L696" s="5"/>
    </row>
    <row r="697" spans="1:12" ht="15.75" customHeight="1">
      <c r="A697" s="16"/>
      <c r="L697" s="5"/>
    </row>
    <row r="698" spans="1:12" ht="15.75" customHeight="1">
      <c r="A698" s="16"/>
      <c r="L698" s="5"/>
    </row>
    <row r="699" spans="1:12" ht="15.75" customHeight="1">
      <c r="A699" s="16"/>
      <c r="L699" s="5"/>
    </row>
    <row r="700" spans="1:12" ht="15.75" customHeight="1">
      <c r="A700" s="16"/>
      <c r="L700" s="5"/>
    </row>
    <row r="701" spans="1:12" ht="15.75" customHeight="1">
      <c r="A701" s="16"/>
      <c r="L701" s="5"/>
    </row>
    <row r="702" spans="1:12" ht="15.75" customHeight="1">
      <c r="A702" s="16"/>
      <c r="L702" s="5"/>
    </row>
    <row r="703" spans="1:12" ht="15.75" customHeight="1">
      <c r="A703" s="16"/>
      <c r="L703" s="5"/>
    </row>
    <row r="704" spans="1:12" ht="15.75" customHeight="1">
      <c r="A704" s="16"/>
      <c r="L704" s="5"/>
    </row>
    <row r="705" spans="1:12" ht="15.75" customHeight="1">
      <c r="A705" s="16"/>
      <c r="L705" s="5"/>
    </row>
    <row r="706" spans="1:12" ht="15.75" customHeight="1">
      <c r="A706" s="16"/>
      <c r="L706" s="5"/>
    </row>
    <row r="707" spans="1:12" ht="15.75" customHeight="1">
      <c r="A707" s="16"/>
      <c r="L707" s="5"/>
    </row>
    <row r="708" spans="1:12" ht="15.75" customHeight="1">
      <c r="A708" s="16"/>
      <c r="L708" s="5"/>
    </row>
    <row r="709" spans="1:12" ht="15.75" customHeight="1">
      <c r="A709" s="16"/>
      <c r="L709" s="5"/>
    </row>
    <row r="710" spans="1:12" ht="15.75" customHeight="1">
      <c r="A710" s="16"/>
      <c r="L710" s="5"/>
    </row>
    <row r="711" spans="1:12" ht="15.75" customHeight="1">
      <c r="A711" s="16"/>
      <c r="L711" s="5"/>
    </row>
    <row r="712" spans="1:12" ht="15.75" customHeight="1">
      <c r="A712" s="16"/>
      <c r="L712" s="5"/>
    </row>
    <row r="713" spans="1:12" ht="15.75" customHeight="1">
      <c r="A713" s="16"/>
      <c r="L713" s="5"/>
    </row>
    <row r="714" spans="1:12" ht="15.75" customHeight="1">
      <c r="A714" s="16"/>
      <c r="L714" s="5"/>
    </row>
    <row r="715" spans="1:12" ht="15.75" customHeight="1">
      <c r="A715" s="16"/>
      <c r="L715" s="5"/>
    </row>
    <row r="716" spans="1:12" ht="15.75" customHeight="1">
      <c r="A716" s="16"/>
      <c r="L716" s="5"/>
    </row>
    <row r="717" spans="1:12" ht="15.75" customHeight="1">
      <c r="A717" s="16"/>
      <c r="L717" s="5"/>
    </row>
    <row r="718" spans="1:12" ht="15.75" customHeight="1">
      <c r="A718" s="16"/>
      <c r="L718" s="5"/>
    </row>
    <row r="719" spans="1:12" ht="15.75" customHeight="1">
      <c r="A719" s="16"/>
      <c r="L719" s="5"/>
    </row>
    <row r="720" spans="1:12" ht="15.75" customHeight="1">
      <c r="A720" s="16"/>
      <c r="L720" s="5"/>
    </row>
    <row r="721" spans="1:12" ht="15.75" customHeight="1">
      <c r="A721" s="16"/>
      <c r="L721" s="5"/>
    </row>
    <row r="722" spans="1:12" ht="15.75" customHeight="1">
      <c r="A722" s="16"/>
      <c r="L722" s="5"/>
    </row>
    <row r="723" spans="1:12" ht="15.75" customHeight="1">
      <c r="A723" s="16"/>
      <c r="L723" s="5"/>
    </row>
    <row r="724" spans="1:12" ht="15.75" customHeight="1">
      <c r="A724" s="16"/>
      <c r="L724" s="5"/>
    </row>
    <row r="725" spans="1:12" ht="15.75" customHeight="1">
      <c r="A725" s="16"/>
      <c r="L725" s="5"/>
    </row>
    <row r="726" spans="1:12" ht="15.75" customHeight="1">
      <c r="A726" s="16"/>
      <c r="L726" s="5"/>
    </row>
    <row r="727" spans="1:12" ht="15.75" customHeight="1">
      <c r="A727" s="16"/>
      <c r="L727" s="5"/>
    </row>
    <row r="728" spans="1:12" ht="15.75" customHeight="1">
      <c r="A728" s="16"/>
      <c r="L728" s="5"/>
    </row>
    <row r="729" spans="1:12" ht="15.75" customHeight="1">
      <c r="A729" s="16"/>
      <c r="L729" s="5"/>
    </row>
    <row r="730" spans="1:12" ht="15.75" customHeight="1">
      <c r="A730" s="16"/>
      <c r="L730" s="5"/>
    </row>
    <row r="731" spans="1:12" ht="15.75" customHeight="1">
      <c r="A731" s="16"/>
      <c r="L731" s="5"/>
    </row>
    <row r="732" spans="1:12" ht="15.75" customHeight="1">
      <c r="A732" s="16"/>
      <c r="L732" s="5"/>
    </row>
    <row r="733" spans="1:12" ht="15.75" customHeight="1">
      <c r="A733" s="16"/>
      <c r="L733" s="5"/>
    </row>
    <row r="734" spans="1:12" ht="15.75" customHeight="1">
      <c r="A734" s="16"/>
      <c r="L734" s="5"/>
    </row>
    <row r="735" spans="1:12" ht="15.75" customHeight="1">
      <c r="A735" s="16"/>
      <c r="L735" s="5"/>
    </row>
    <row r="736" spans="1:12" ht="15.75" customHeight="1">
      <c r="A736" s="16"/>
      <c r="L736" s="5"/>
    </row>
    <row r="737" spans="1:12" ht="15.75" customHeight="1">
      <c r="A737" s="16"/>
      <c r="L737" s="5"/>
    </row>
    <row r="738" spans="1:12" ht="15.75" customHeight="1">
      <c r="A738" s="16"/>
      <c r="L738" s="5"/>
    </row>
    <row r="739" spans="1:12" ht="15.75" customHeight="1">
      <c r="A739" s="16"/>
      <c r="L739" s="5"/>
    </row>
    <row r="740" spans="1:12" ht="15.75" customHeight="1">
      <c r="A740" s="16"/>
      <c r="L740" s="5"/>
    </row>
    <row r="741" spans="1:12" ht="15.75" customHeight="1">
      <c r="A741" s="16"/>
      <c r="L741" s="5"/>
    </row>
    <row r="742" spans="1:12" ht="15.75" customHeight="1">
      <c r="A742" s="16"/>
      <c r="L742" s="5"/>
    </row>
    <row r="743" spans="1:12" ht="15.75" customHeight="1">
      <c r="A743" s="16"/>
      <c r="L743" s="5"/>
    </row>
    <row r="744" spans="1:12" ht="15.75" customHeight="1">
      <c r="A744" s="16"/>
      <c r="L744" s="5"/>
    </row>
    <row r="745" spans="1:12" ht="15.75" customHeight="1">
      <c r="A745" s="16"/>
      <c r="L745" s="5"/>
    </row>
    <row r="746" spans="1:12" ht="15.75" customHeight="1">
      <c r="A746" s="16"/>
      <c r="L746" s="5"/>
    </row>
    <row r="747" spans="1:12" ht="15.75" customHeight="1">
      <c r="A747" s="16"/>
      <c r="L747" s="5"/>
    </row>
    <row r="748" spans="1:12" ht="15.75" customHeight="1">
      <c r="A748" s="16"/>
      <c r="L748" s="5"/>
    </row>
    <row r="749" spans="1:12" ht="15.75" customHeight="1">
      <c r="A749" s="16"/>
      <c r="L749" s="5"/>
    </row>
    <row r="750" spans="1:12" ht="15.75" customHeight="1">
      <c r="A750" s="16"/>
      <c r="L750" s="5"/>
    </row>
    <row r="751" spans="1:12" ht="15.75" customHeight="1">
      <c r="A751" s="16"/>
      <c r="L751" s="5"/>
    </row>
    <row r="752" spans="1:12" ht="15.75" customHeight="1">
      <c r="A752" s="16"/>
      <c r="L752" s="5"/>
    </row>
    <row r="753" spans="1:12" ht="15.75" customHeight="1">
      <c r="A753" s="16"/>
      <c r="L753" s="5"/>
    </row>
    <row r="754" spans="1:12" ht="15.75" customHeight="1">
      <c r="A754" s="16"/>
      <c r="L754" s="5"/>
    </row>
    <row r="755" spans="1:12" ht="15.75" customHeight="1">
      <c r="A755" s="16"/>
      <c r="L755" s="5"/>
    </row>
    <row r="756" spans="1:12" ht="15.75" customHeight="1">
      <c r="A756" s="16"/>
      <c r="L756" s="5"/>
    </row>
    <row r="757" spans="1:12" ht="15.75" customHeight="1">
      <c r="A757" s="16"/>
      <c r="L757" s="5"/>
    </row>
    <row r="758" spans="1:12" ht="15.75" customHeight="1">
      <c r="A758" s="16"/>
      <c r="L758" s="5"/>
    </row>
    <row r="759" spans="1:12" ht="15.75" customHeight="1">
      <c r="A759" s="16"/>
      <c r="L759" s="5"/>
    </row>
    <row r="760" spans="1:12" ht="15.75" customHeight="1">
      <c r="A760" s="16"/>
      <c r="L760" s="5"/>
    </row>
    <row r="761" spans="1:12" ht="15.75" customHeight="1">
      <c r="A761" s="16"/>
      <c r="L761" s="5"/>
    </row>
    <row r="762" spans="1:12" ht="15.75" customHeight="1">
      <c r="A762" s="16"/>
      <c r="L762" s="5"/>
    </row>
    <row r="763" spans="1:12" ht="15.75" customHeight="1">
      <c r="A763" s="16"/>
      <c r="L763" s="5"/>
    </row>
    <row r="764" spans="1:12" ht="15.75" customHeight="1">
      <c r="A764" s="16"/>
      <c r="L764" s="5"/>
    </row>
    <row r="765" spans="1:12" ht="15.75" customHeight="1">
      <c r="A765" s="16"/>
      <c r="L765" s="5"/>
    </row>
    <row r="766" spans="1:12" ht="15.75" customHeight="1">
      <c r="A766" s="16"/>
      <c r="L766" s="5"/>
    </row>
    <row r="767" spans="1:12" ht="15.75" customHeight="1">
      <c r="A767" s="16"/>
      <c r="L767" s="5"/>
    </row>
    <row r="768" spans="1:12" ht="15.75" customHeight="1">
      <c r="A768" s="16"/>
      <c r="L768" s="5"/>
    </row>
    <row r="769" spans="1:12" ht="15.75" customHeight="1">
      <c r="A769" s="16"/>
      <c r="L769" s="5"/>
    </row>
    <row r="770" spans="1:12" ht="15.75" customHeight="1">
      <c r="A770" s="16"/>
      <c r="L770" s="5"/>
    </row>
    <row r="771" spans="1:12" ht="15.75" customHeight="1">
      <c r="A771" s="16"/>
      <c r="L771" s="5"/>
    </row>
    <row r="772" spans="1:12" ht="15.75" customHeight="1">
      <c r="A772" s="16"/>
      <c r="L772" s="5"/>
    </row>
    <row r="773" spans="1:12" ht="15.75" customHeight="1">
      <c r="A773" s="16"/>
      <c r="L773" s="5"/>
    </row>
    <row r="774" spans="1:12" ht="15.75" customHeight="1">
      <c r="A774" s="16"/>
      <c r="L774" s="5"/>
    </row>
    <row r="775" spans="1:12" ht="15.75" customHeight="1">
      <c r="A775" s="16"/>
      <c r="L775" s="5"/>
    </row>
    <row r="776" spans="1:12" ht="15.75" customHeight="1">
      <c r="A776" s="16"/>
      <c r="L776" s="5"/>
    </row>
    <row r="777" spans="1:12" ht="15.75" customHeight="1">
      <c r="A777" s="16"/>
      <c r="L777" s="5"/>
    </row>
    <row r="778" spans="1:12" ht="15.75" customHeight="1">
      <c r="A778" s="16"/>
      <c r="L778" s="5"/>
    </row>
    <row r="779" spans="1:12" ht="15.75" customHeight="1">
      <c r="A779" s="16"/>
      <c r="L779" s="5"/>
    </row>
    <row r="780" spans="1:12" ht="15.75" customHeight="1">
      <c r="A780" s="16"/>
      <c r="L780" s="5"/>
    </row>
    <row r="781" spans="1:12" ht="15.75" customHeight="1">
      <c r="A781" s="16"/>
      <c r="L781" s="5"/>
    </row>
    <row r="782" spans="1:12" ht="15.75" customHeight="1">
      <c r="A782" s="16"/>
      <c r="L782" s="5"/>
    </row>
    <row r="783" spans="1:12" ht="15.75" customHeight="1">
      <c r="A783" s="16"/>
      <c r="L783" s="5"/>
    </row>
    <row r="784" spans="1:12" ht="15.75" customHeight="1">
      <c r="A784" s="16"/>
      <c r="L784" s="5"/>
    </row>
    <row r="785" spans="1:12" ht="15.75" customHeight="1">
      <c r="A785" s="16"/>
      <c r="L785" s="5"/>
    </row>
    <row r="786" spans="1:12" ht="15.75" customHeight="1">
      <c r="A786" s="16"/>
      <c r="L786" s="5"/>
    </row>
    <row r="787" spans="1:12" ht="15.75" customHeight="1">
      <c r="A787" s="16"/>
      <c r="L787" s="5"/>
    </row>
    <row r="788" spans="1:12" ht="15.75" customHeight="1">
      <c r="A788" s="16"/>
      <c r="L788" s="5"/>
    </row>
    <row r="789" spans="1:12" ht="15.75" customHeight="1">
      <c r="A789" s="16"/>
      <c r="L789" s="5"/>
    </row>
    <row r="790" spans="1:12" ht="15.75" customHeight="1">
      <c r="A790" s="16"/>
      <c r="L790" s="5"/>
    </row>
    <row r="791" spans="1:12" ht="15.75" customHeight="1">
      <c r="A791" s="16"/>
      <c r="L791" s="5"/>
    </row>
    <row r="792" spans="1:12" ht="15.75" customHeight="1">
      <c r="A792" s="16"/>
      <c r="L792" s="5"/>
    </row>
    <row r="793" spans="1:12" ht="15.75" customHeight="1">
      <c r="A793" s="16"/>
      <c r="L793" s="5"/>
    </row>
    <row r="794" spans="1:12" ht="15.75" customHeight="1">
      <c r="A794" s="16"/>
      <c r="L794" s="5"/>
    </row>
    <row r="795" spans="1:12" ht="15.75" customHeight="1">
      <c r="A795" s="16"/>
      <c r="L795" s="5"/>
    </row>
    <row r="796" spans="1:12" ht="15.75" customHeight="1">
      <c r="A796" s="16"/>
      <c r="L796" s="5"/>
    </row>
    <row r="797" spans="1:12" ht="15.75" customHeight="1">
      <c r="A797" s="16"/>
      <c r="L797" s="5"/>
    </row>
    <row r="798" spans="1:12" ht="15.75" customHeight="1">
      <c r="A798" s="16"/>
      <c r="L798" s="5"/>
    </row>
    <row r="799" spans="1:12" ht="15.75" customHeight="1">
      <c r="A799" s="16"/>
      <c r="L799" s="5"/>
    </row>
    <row r="800" spans="1:12" ht="15.75" customHeight="1">
      <c r="A800" s="16"/>
      <c r="L800" s="5"/>
    </row>
    <row r="801" spans="1:12" ht="15.75" customHeight="1">
      <c r="A801" s="16"/>
      <c r="L801" s="5"/>
    </row>
    <row r="802" spans="1:12" ht="15.75" customHeight="1">
      <c r="A802" s="16"/>
      <c r="L802" s="5"/>
    </row>
    <row r="803" spans="1:12" ht="15.75" customHeight="1">
      <c r="A803" s="16"/>
      <c r="L803" s="5"/>
    </row>
    <row r="804" spans="1:12" ht="15.75" customHeight="1">
      <c r="A804" s="16"/>
      <c r="L804" s="5"/>
    </row>
    <row r="805" spans="1:12" ht="15.75" customHeight="1">
      <c r="A805" s="16"/>
      <c r="L805" s="5"/>
    </row>
    <row r="806" spans="1:12" ht="15.75" customHeight="1">
      <c r="A806" s="16"/>
      <c r="L806" s="5"/>
    </row>
    <row r="807" spans="1:12" ht="15.75" customHeight="1">
      <c r="A807" s="16"/>
      <c r="L807" s="5"/>
    </row>
    <row r="808" spans="1:12" ht="15.75" customHeight="1">
      <c r="A808" s="16"/>
      <c r="L808" s="5"/>
    </row>
    <row r="809" spans="1:12" ht="15.75" customHeight="1">
      <c r="A809" s="16"/>
      <c r="L809" s="5"/>
    </row>
    <row r="810" spans="1:12" ht="15.75" customHeight="1">
      <c r="A810" s="16"/>
      <c r="L810" s="5"/>
    </row>
    <row r="811" spans="1:12" ht="15.75" customHeight="1">
      <c r="A811" s="16"/>
      <c r="L811" s="5"/>
    </row>
    <row r="812" spans="1:12" ht="15.75" customHeight="1">
      <c r="A812" s="16"/>
      <c r="L812" s="5"/>
    </row>
    <row r="813" spans="1:12" ht="15.75" customHeight="1">
      <c r="A813" s="16"/>
      <c r="L813" s="5"/>
    </row>
    <row r="814" spans="1:12" ht="15.75" customHeight="1">
      <c r="A814" s="16"/>
      <c r="L814" s="5"/>
    </row>
    <row r="815" spans="1:12" ht="15.75" customHeight="1">
      <c r="A815" s="16"/>
      <c r="L815" s="5"/>
    </row>
    <row r="816" spans="1:12" ht="15.75" customHeight="1">
      <c r="A816" s="16"/>
      <c r="L816" s="5"/>
    </row>
    <row r="817" spans="1:12" ht="15.75" customHeight="1">
      <c r="A817" s="16"/>
      <c r="L817" s="5"/>
    </row>
    <row r="818" spans="1:12" ht="15.75" customHeight="1">
      <c r="A818" s="16"/>
      <c r="L818" s="5"/>
    </row>
    <row r="819" spans="1:12" ht="15.75" customHeight="1">
      <c r="A819" s="16"/>
      <c r="L819" s="5"/>
    </row>
    <row r="820" spans="1:12" ht="15.75" customHeight="1">
      <c r="A820" s="16"/>
      <c r="L820" s="5"/>
    </row>
    <row r="821" spans="1:12" ht="15.75" customHeight="1">
      <c r="A821" s="16"/>
      <c r="L821" s="5"/>
    </row>
    <row r="822" spans="1:12" ht="15.75" customHeight="1">
      <c r="A822" s="16"/>
      <c r="L822" s="5"/>
    </row>
    <row r="823" spans="1:12" ht="15.75" customHeight="1">
      <c r="A823" s="16"/>
      <c r="L823" s="5"/>
    </row>
    <row r="824" spans="1:12" ht="15.75" customHeight="1">
      <c r="A824" s="16"/>
      <c r="L824" s="5"/>
    </row>
    <row r="825" spans="1:12" ht="15.75" customHeight="1">
      <c r="A825" s="16"/>
      <c r="L825" s="5"/>
    </row>
    <row r="826" spans="1:12" ht="15.75" customHeight="1">
      <c r="A826" s="16"/>
      <c r="L826" s="5"/>
    </row>
    <row r="827" spans="1:12" ht="15.75" customHeight="1">
      <c r="A827" s="16"/>
      <c r="L827" s="5"/>
    </row>
    <row r="828" spans="1:12" ht="15.75" customHeight="1">
      <c r="A828" s="16"/>
      <c r="L828" s="5"/>
    </row>
    <row r="829" spans="1:12" ht="15.75" customHeight="1">
      <c r="A829" s="16"/>
      <c r="L829" s="5"/>
    </row>
    <row r="830" spans="1:12" ht="15.75" customHeight="1">
      <c r="A830" s="16"/>
      <c r="L830" s="5"/>
    </row>
    <row r="831" spans="1:12" ht="15.75" customHeight="1">
      <c r="A831" s="16"/>
      <c r="L831" s="5"/>
    </row>
    <row r="832" spans="1:12" ht="15.75" customHeight="1">
      <c r="A832" s="16"/>
      <c r="L832" s="5"/>
    </row>
    <row r="833" spans="1:12" ht="15.75" customHeight="1">
      <c r="A833" s="16"/>
      <c r="L833" s="5"/>
    </row>
    <row r="834" spans="1:12" ht="15.75" customHeight="1">
      <c r="A834" s="16"/>
      <c r="L834" s="5"/>
    </row>
    <row r="835" spans="1:12" ht="15.75" customHeight="1">
      <c r="A835" s="16"/>
      <c r="L835" s="5"/>
    </row>
    <row r="836" spans="1:12" ht="15.75" customHeight="1">
      <c r="A836" s="16"/>
      <c r="L836" s="5"/>
    </row>
    <row r="837" spans="1:12" ht="15.75" customHeight="1">
      <c r="A837" s="16"/>
      <c r="L837" s="5"/>
    </row>
    <row r="838" spans="1:12" ht="15.75" customHeight="1">
      <c r="A838" s="16"/>
      <c r="L838" s="5"/>
    </row>
    <row r="839" spans="1:12" ht="15.75" customHeight="1">
      <c r="A839" s="16"/>
      <c r="L839" s="5"/>
    </row>
    <row r="840" spans="1:12" ht="15.75" customHeight="1">
      <c r="A840" s="16"/>
      <c r="L840" s="5"/>
    </row>
    <row r="841" spans="1:12" ht="15.75" customHeight="1">
      <c r="A841" s="16"/>
      <c r="L841" s="5"/>
    </row>
    <row r="842" spans="1:12" ht="15.75" customHeight="1">
      <c r="A842" s="16"/>
      <c r="L842" s="5"/>
    </row>
    <row r="843" spans="1:12" ht="15.75" customHeight="1">
      <c r="A843" s="16"/>
      <c r="L843" s="5"/>
    </row>
    <row r="844" spans="1:12" ht="15.75" customHeight="1">
      <c r="A844" s="16"/>
      <c r="L844" s="5"/>
    </row>
    <row r="845" spans="1:12" ht="15.75" customHeight="1">
      <c r="A845" s="16"/>
      <c r="L845" s="5"/>
    </row>
    <row r="846" spans="1:12" ht="15.75" customHeight="1">
      <c r="A846" s="16"/>
      <c r="L846" s="5"/>
    </row>
    <row r="847" spans="1:12" ht="15.75" customHeight="1">
      <c r="A847" s="16"/>
      <c r="L847" s="5"/>
    </row>
    <row r="848" spans="1:12" ht="15.75" customHeight="1">
      <c r="A848" s="16"/>
      <c r="L848" s="5"/>
    </row>
    <row r="849" spans="1:12" ht="15.75" customHeight="1">
      <c r="A849" s="16"/>
      <c r="L849" s="5"/>
    </row>
    <row r="850" spans="1:12" ht="15.75" customHeight="1">
      <c r="A850" s="16"/>
      <c r="L850" s="5"/>
    </row>
    <row r="851" spans="1:12" ht="15.75" customHeight="1">
      <c r="A851" s="16"/>
      <c r="L851" s="5"/>
    </row>
    <row r="852" spans="1:12" ht="15.75" customHeight="1">
      <c r="A852" s="16"/>
      <c r="L852" s="5"/>
    </row>
    <row r="853" spans="1:12" ht="15.75" customHeight="1">
      <c r="A853" s="16"/>
      <c r="L853" s="5"/>
    </row>
    <row r="854" spans="1:12" ht="15.75" customHeight="1">
      <c r="A854" s="16"/>
      <c r="L854" s="5"/>
    </row>
    <row r="855" spans="1:12" ht="15.75" customHeight="1">
      <c r="A855" s="16"/>
      <c r="L855" s="5"/>
    </row>
    <row r="856" spans="1:12" ht="15.75" customHeight="1">
      <c r="A856" s="16"/>
      <c r="L856" s="5"/>
    </row>
    <row r="857" spans="1:12" ht="15.75" customHeight="1">
      <c r="A857" s="16"/>
      <c r="L857" s="5"/>
    </row>
    <row r="858" spans="1:12" ht="15.75" customHeight="1">
      <c r="A858" s="16"/>
      <c r="L858" s="5"/>
    </row>
    <row r="859" spans="1:12" ht="15.75" customHeight="1">
      <c r="A859" s="16"/>
      <c r="L859" s="5"/>
    </row>
    <row r="860" spans="1:12" ht="15.75" customHeight="1">
      <c r="A860" s="16"/>
      <c r="L860" s="5"/>
    </row>
    <row r="861" spans="1:12" ht="15.75" customHeight="1">
      <c r="A861" s="16"/>
      <c r="L861" s="5"/>
    </row>
    <row r="862" spans="1:12" ht="15.75" customHeight="1">
      <c r="A862" s="16"/>
      <c r="L862" s="5"/>
    </row>
    <row r="863" spans="1:12" ht="15.75" customHeight="1">
      <c r="A863" s="16"/>
      <c r="L863" s="5"/>
    </row>
    <row r="864" spans="1:12" ht="15.75" customHeight="1">
      <c r="A864" s="16"/>
      <c r="L864" s="5"/>
    </row>
    <row r="865" spans="1:12" ht="15.75" customHeight="1">
      <c r="A865" s="16"/>
      <c r="L865" s="5"/>
    </row>
    <row r="866" spans="1:12" ht="15.75" customHeight="1">
      <c r="A866" s="16"/>
      <c r="L866" s="5"/>
    </row>
    <row r="867" spans="1:12" ht="15.75" customHeight="1">
      <c r="A867" s="16"/>
      <c r="L867" s="5"/>
    </row>
    <row r="868" spans="1:12" ht="15.75" customHeight="1">
      <c r="A868" s="16"/>
      <c r="L868" s="5"/>
    </row>
    <row r="869" spans="1:12" ht="15.75" customHeight="1">
      <c r="A869" s="16"/>
      <c r="L869" s="5"/>
    </row>
    <row r="870" spans="1:12" ht="15.75" customHeight="1">
      <c r="A870" s="16"/>
      <c r="L870" s="5"/>
    </row>
    <row r="871" spans="1:12" ht="15.75" customHeight="1">
      <c r="A871" s="16"/>
      <c r="L871" s="5"/>
    </row>
    <row r="872" spans="1:12" ht="15.75" customHeight="1">
      <c r="A872" s="16"/>
      <c r="L872" s="5"/>
    </row>
    <row r="873" spans="1:12" ht="15.75" customHeight="1">
      <c r="A873" s="16"/>
      <c r="L873" s="5"/>
    </row>
    <row r="874" spans="1:12" ht="15.75" customHeight="1">
      <c r="A874" s="16"/>
      <c r="L874" s="5"/>
    </row>
    <row r="875" spans="1:12" ht="15.75" customHeight="1">
      <c r="A875" s="16"/>
      <c r="L875" s="5"/>
    </row>
    <row r="876" spans="1:12" ht="15.75" customHeight="1">
      <c r="A876" s="16"/>
      <c r="L876" s="5"/>
    </row>
    <row r="877" spans="1:12" ht="15.75" customHeight="1">
      <c r="A877" s="16"/>
      <c r="L877" s="5"/>
    </row>
    <row r="878" spans="1:12" ht="15.75" customHeight="1">
      <c r="A878" s="16"/>
      <c r="L878" s="5"/>
    </row>
    <row r="879" spans="1:12" ht="15.75" customHeight="1">
      <c r="A879" s="16"/>
      <c r="L879" s="5"/>
    </row>
    <row r="880" spans="1:12" ht="15.75" customHeight="1">
      <c r="A880" s="16"/>
      <c r="L880" s="5"/>
    </row>
    <row r="881" spans="1:12" ht="15.75" customHeight="1">
      <c r="A881" s="16"/>
      <c r="L881" s="5"/>
    </row>
    <row r="882" spans="1:12" ht="15.75" customHeight="1">
      <c r="A882" s="16"/>
      <c r="L882" s="5"/>
    </row>
    <row r="883" spans="1:12" ht="15.75" customHeight="1">
      <c r="A883" s="16"/>
      <c r="L883" s="5"/>
    </row>
    <row r="884" spans="1:12" ht="15.75" customHeight="1">
      <c r="A884" s="16"/>
      <c r="L884" s="5"/>
    </row>
    <row r="885" spans="1:12" ht="15.75" customHeight="1">
      <c r="A885" s="16"/>
      <c r="L885" s="5"/>
    </row>
    <row r="886" spans="1:12" ht="15.75" customHeight="1">
      <c r="A886" s="16"/>
      <c r="L886" s="5"/>
    </row>
    <row r="887" spans="1:12" ht="15.75" customHeight="1">
      <c r="A887" s="16"/>
      <c r="L887" s="5"/>
    </row>
    <row r="888" spans="1:12" ht="15.75" customHeight="1">
      <c r="A888" s="16"/>
      <c r="L888" s="5"/>
    </row>
    <row r="889" spans="1:12" ht="15.75" customHeight="1">
      <c r="A889" s="16"/>
      <c r="L889" s="5"/>
    </row>
    <row r="890" spans="1:12" ht="15.75" customHeight="1">
      <c r="A890" s="16"/>
      <c r="L890" s="5"/>
    </row>
    <row r="891" spans="1:12" ht="15.75" customHeight="1">
      <c r="A891" s="16"/>
      <c r="L891" s="5"/>
    </row>
    <row r="892" spans="1:12" ht="15.75" customHeight="1">
      <c r="A892" s="16"/>
      <c r="L892" s="5"/>
    </row>
    <row r="893" spans="1:12" ht="15.75" customHeight="1">
      <c r="A893" s="16"/>
      <c r="L893" s="5"/>
    </row>
    <row r="894" spans="1:12" ht="15.75" customHeight="1">
      <c r="A894" s="16"/>
      <c r="L894" s="5"/>
    </row>
    <row r="895" spans="1:12" ht="15.75" customHeight="1">
      <c r="A895" s="16"/>
      <c r="L895" s="5"/>
    </row>
    <row r="896" spans="1:12" ht="15.75" customHeight="1">
      <c r="A896" s="16"/>
      <c r="L896" s="5"/>
    </row>
    <row r="897" spans="1:12" ht="15.75" customHeight="1">
      <c r="A897" s="16"/>
      <c r="L897" s="5"/>
    </row>
    <row r="898" spans="1:12" ht="15.75" customHeight="1">
      <c r="A898" s="16"/>
      <c r="L898" s="5"/>
    </row>
    <row r="899" spans="1:12" ht="15.75" customHeight="1">
      <c r="A899" s="16"/>
      <c r="L899" s="5"/>
    </row>
    <row r="900" spans="1:12" ht="15.75" customHeight="1">
      <c r="A900" s="16"/>
      <c r="L900" s="5"/>
    </row>
    <row r="901" spans="1:12" ht="15.75" customHeight="1">
      <c r="A901" s="16"/>
      <c r="L901" s="5"/>
    </row>
    <row r="902" spans="1:12" ht="15.75" customHeight="1">
      <c r="A902" s="16"/>
      <c r="L902" s="5"/>
    </row>
    <row r="903" spans="1:12" ht="15.75" customHeight="1">
      <c r="A903" s="16"/>
      <c r="L903" s="5"/>
    </row>
    <row r="904" spans="1:12" ht="15.75" customHeight="1">
      <c r="A904" s="16"/>
      <c r="L904" s="5"/>
    </row>
    <row r="905" spans="1:12" ht="15.75" customHeight="1">
      <c r="A905" s="16"/>
      <c r="L905" s="5"/>
    </row>
    <row r="906" spans="1:12" ht="15.75" customHeight="1">
      <c r="A906" s="16"/>
      <c r="L906" s="5"/>
    </row>
    <row r="907" spans="1:12" ht="15.75" customHeight="1">
      <c r="A907" s="16"/>
      <c r="L907" s="5"/>
    </row>
    <row r="908" spans="1:12" ht="15.75" customHeight="1">
      <c r="A908" s="16"/>
      <c r="L908" s="5"/>
    </row>
    <row r="909" spans="1:12" ht="15.75" customHeight="1">
      <c r="A909" s="16"/>
      <c r="L909" s="5"/>
    </row>
    <row r="910" spans="1:12" ht="15.75" customHeight="1">
      <c r="A910" s="16"/>
      <c r="L910" s="5"/>
    </row>
    <row r="911" spans="1:12" ht="15.75" customHeight="1">
      <c r="A911" s="16"/>
      <c r="L911" s="5"/>
    </row>
    <row r="912" spans="1:12" ht="15.75" customHeight="1">
      <c r="A912" s="16"/>
      <c r="L912" s="5"/>
    </row>
    <row r="913" spans="1:12" ht="15.75" customHeight="1">
      <c r="A913" s="16"/>
      <c r="L913" s="5"/>
    </row>
    <row r="914" spans="1:12" ht="15.75" customHeight="1">
      <c r="A914" s="16"/>
      <c r="L914" s="5"/>
    </row>
    <row r="915" spans="1:12" ht="15.75" customHeight="1">
      <c r="A915" s="16"/>
      <c r="L915" s="5"/>
    </row>
    <row r="916" spans="1:12" ht="15.75" customHeight="1">
      <c r="A916" s="16"/>
      <c r="L916" s="5"/>
    </row>
    <row r="917" spans="1:12" ht="15.75" customHeight="1">
      <c r="A917" s="16"/>
      <c r="L917" s="5"/>
    </row>
    <row r="918" spans="1:12" ht="15.75" customHeight="1">
      <c r="A918" s="16"/>
      <c r="L918" s="5"/>
    </row>
    <row r="919" spans="1:12" ht="15.75" customHeight="1">
      <c r="A919" s="16"/>
      <c r="L919" s="5"/>
    </row>
    <row r="920" spans="1:12" ht="15.75" customHeight="1">
      <c r="A920" s="16"/>
      <c r="L920" s="5"/>
    </row>
    <row r="921" spans="1:12" ht="15.75" customHeight="1">
      <c r="A921" s="16"/>
      <c r="L921" s="5"/>
    </row>
    <row r="922" spans="1:12" ht="15.75" customHeight="1">
      <c r="A922" s="16"/>
      <c r="L922" s="5"/>
    </row>
    <row r="923" spans="1:12" ht="15.75" customHeight="1">
      <c r="A923" s="16"/>
      <c r="L923" s="5"/>
    </row>
    <row r="924" spans="1:12" ht="15.75" customHeight="1">
      <c r="A924" s="16"/>
      <c r="L924" s="5"/>
    </row>
    <row r="925" spans="1:12" ht="15.75" customHeight="1">
      <c r="A925" s="16"/>
      <c r="L925" s="5"/>
    </row>
    <row r="926" spans="1:12" ht="15.75" customHeight="1">
      <c r="A926" s="16"/>
      <c r="L926" s="5"/>
    </row>
    <row r="927" spans="1:12" ht="15.75" customHeight="1">
      <c r="A927" s="16"/>
      <c r="L927" s="5"/>
    </row>
    <row r="928" spans="1:12" ht="15.75" customHeight="1">
      <c r="A928" s="16"/>
      <c r="L928" s="5"/>
    </row>
    <row r="929" spans="1:12" ht="15.75" customHeight="1">
      <c r="A929" s="16"/>
      <c r="L929" s="5"/>
    </row>
    <row r="930" spans="1:12" ht="15.75" customHeight="1">
      <c r="A930" s="16"/>
      <c r="L930" s="5"/>
    </row>
    <row r="931" spans="1:12" ht="15.75" customHeight="1">
      <c r="A931" s="16"/>
      <c r="L931" s="5"/>
    </row>
    <row r="932" spans="1:12" ht="15.75" customHeight="1">
      <c r="A932" s="16"/>
      <c r="L932" s="5"/>
    </row>
    <row r="933" spans="1:12" ht="15.75" customHeight="1">
      <c r="A933" s="16"/>
      <c r="L933" s="5"/>
    </row>
    <row r="934" spans="1:12" ht="15.75" customHeight="1">
      <c r="A934" s="16"/>
      <c r="L934" s="5"/>
    </row>
    <row r="935" spans="1:12" ht="15.75" customHeight="1">
      <c r="A935" s="16"/>
      <c r="L935" s="5"/>
    </row>
    <row r="936" spans="1:12" ht="15.75" customHeight="1">
      <c r="A936" s="16"/>
      <c r="L936" s="5"/>
    </row>
    <row r="937" spans="1:12" ht="15.75" customHeight="1">
      <c r="A937" s="16"/>
      <c r="L937" s="5"/>
    </row>
    <row r="938" spans="1:12" ht="15.75" customHeight="1">
      <c r="A938" s="16"/>
      <c r="L938" s="5"/>
    </row>
    <row r="939" spans="1:12" ht="15.75" customHeight="1">
      <c r="A939" s="16"/>
      <c r="L939" s="5"/>
    </row>
    <row r="940" spans="1:12" ht="15.75" customHeight="1">
      <c r="A940" s="16"/>
      <c r="L940" s="5"/>
    </row>
    <row r="941" spans="1:12" ht="15.75" customHeight="1">
      <c r="A941" s="16"/>
      <c r="L941" s="5"/>
    </row>
    <row r="942" spans="1:12" ht="15.75" customHeight="1">
      <c r="A942" s="16"/>
      <c r="L942" s="5"/>
    </row>
    <row r="943" spans="1:12" ht="15.75" customHeight="1">
      <c r="A943" s="16"/>
      <c r="L943" s="5"/>
    </row>
    <row r="944" spans="1:12" ht="15.75" customHeight="1">
      <c r="A944" s="16"/>
      <c r="L944" s="5"/>
    </row>
    <row r="945" spans="1:12" ht="15.75" customHeight="1">
      <c r="A945" s="16"/>
      <c r="L945" s="5"/>
    </row>
    <row r="946" spans="1:12" ht="15.75" customHeight="1">
      <c r="A946" s="16"/>
      <c r="L946" s="5"/>
    </row>
    <row r="947" spans="1:12" ht="15.75" customHeight="1">
      <c r="A947" s="16"/>
      <c r="L947" s="5"/>
    </row>
    <row r="948" spans="1:12" ht="15.75" customHeight="1">
      <c r="A948" s="16"/>
      <c r="L948" s="5"/>
    </row>
    <row r="949" spans="1:12" ht="15.75" customHeight="1">
      <c r="A949" s="16"/>
      <c r="L949" s="5"/>
    </row>
    <row r="950" spans="1:12" ht="15.75" customHeight="1">
      <c r="A950" s="16"/>
      <c r="L950" s="5"/>
    </row>
    <row r="951" spans="1:12" ht="15.75" customHeight="1">
      <c r="A951" s="16"/>
      <c r="L951" s="5"/>
    </row>
    <row r="952" spans="1:12" ht="15.75" customHeight="1">
      <c r="A952" s="16"/>
      <c r="L952" s="5"/>
    </row>
    <row r="953" spans="1:12" ht="15.75" customHeight="1">
      <c r="A953" s="16"/>
      <c r="L953" s="5"/>
    </row>
    <row r="954" spans="1:12" ht="15.75" customHeight="1">
      <c r="A954" s="16"/>
      <c r="L954" s="5"/>
    </row>
    <row r="955" spans="1:12" ht="15.75" customHeight="1">
      <c r="A955" s="16"/>
      <c r="L955" s="5"/>
    </row>
    <row r="956" spans="1:12" ht="15.75" customHeight="1">
      <c r="A956" s="16"/>
      <c r="L956" s="5"/>
    </row>
    <row r="957" spans="1:12" ht="15.75" customHeight="1">
      <c r="A957" s="16"/>
      <c r="L957" s="5"/>
    </row>
    <row r="958" spans="1:12" ht="15.75" customHeight="1">
      <c r="A958" s="16"/>
      <c r="L958" s="5"/>
    </row>
    <row r="959" spans="1:12" ht="15.75" customHeight="1">
      <c r="A959" s="16"/>
      <c r="L959" s="5"/>
    </row>
    <row r="960" spans="1:12" ht="15.75" customHeight="1">
      <c r="A960" s="16"/>
      <c r="L960" s="5"/>
    </row>
    <row r="961" spans="1:12" ht="15.75" customHeight="1">
      <c r="A961" s="16"/>
      <c r="L961" s="5"/>
    </row>
    <row r="962" spans="1:12" ht="15.75" customHeight="1">
      <c r="A962" s="16"/>
      <c r="L962" s="5"/>
    </row>
    <row r="963" spans="1:12" ht="15.75" customHeight="1">
      <c r="A963" s="16"/>
      <c r="L963" s="5"/>
    </row>
    <row r="964" spans="1:12" ht="15.75" customHeight="1">
      <c r="A964" s="16"/>
      <c r="L964" s="5"/>
    </row>
    <row r="965" spans="1:12" ht="15.75" customHeight="1">
      <c r="A965" s="16"/>
      <c r="L965" s="5"/>
    </row>
    <row r="966" spans="1:12" ht="15.75" customHeight="1">
      <c r="A966" s="16"/>
      <c r="L966" s="5"/>
    </row>
    <row r="967" spans="1:12" ht="15.75" customHeight="1">
      <c r="A967" s="16"/>
      <c r="L967" s="5"/>
    </row>
    <row r="968" spans="1:12" ht="15.75" customHeight="1">
      <c r="A968" s="16"/>
      <c r="L968" s="5"/>
    </row>
    <row r="969" spans="1:12" ht="15.75" customHeight="1">
      <c r="A969" s="16"/>
      <c r="L969" s="5"/>
    </row>
    <row r="970" spans="1:12" ht="15.75" customHeight="1">
      <c r="A970" s="16"/>
      <c r="L970" s="5"/>
    </row>
    <row r="971" spans="1:12" ht="15.75" customHeight="1">
      <c r="A971" s="16"/>
      <c r="L971" s="5"/>
    </row>
    <row r="972" spans="1:12" ht="15.75" customHeight="1">
      <c r="A972" s="16"/>
      <c r="L972" s="5"/>
    </row>
    <row r="973" spans="1:12" ht="15.75" customHeight="1">
      <c r="A973" s="16"/>
      <c r="L973" s="5"/>
    </row>
    <row r="974" spans="1:12" ht="15.75" customHeight="1">
      <c r="A974" s="16"/>
      <c r="L974" s="5"/>
    </row>
    <row r="975" spans="1:12" ht="15.75" customHeight="1">
      <c r="A975" s="16"/>
      <c r="L975" s="5"/>
    </row>
    <row r="976" spans="1:12" ht="15.75" customHeight="1">
      <c r="A976" s="16"/>
      <c r="L976" s="5"/>
    </row>
    <row r="977" spans="1:12" ht="15.75" customHeight="1">
      <c r="A977" s="16"/>
      <c r="L977" s="5"/>
    </row>
    <row r="978" spans="1:12" ht="15.75" customHeight="1">
      <c r="A978" s="16"/>
      <c r="L978" s="5"/>
    </row>
    <row r="979" spans="1:12" ht="15.75" customHeight="1">
      <c r="A979" s="16"/>
      <c r="L979" s="5"/>
    </row>
    <row r="980" spans="1:12" ht="15.75" customHeight="1">
      <c r="A980" s="16"/>
      <c r="L980" s="5"/>
    </row>
    <row r="981" spans="1:12" ht="15.75" customHeight="1">
      <c r="A981" s="16"/>
      <c r="L981" s="5"/>
    </row>
    <row r="982" spans="1:12" ht="15.75" customHeight="1">
      <c r="A982" s="16"/>
      <c r="L982" s="5"/>
    </row>
    <row r="983" spans="1:12" ht="15.75" customHeight="1">
      <c r="A983" s="16"/>
      <c r="L983" s="5"/>
    </row>
    <row r="984" spans="1:12" ht="15.75" customHeight="1">
      <c r="A984" s="16"/>
      <c r="L984" s="5"/>
    </row>
    <row r="985" spans="1:12" ht="15.75" customHeight="1">
      <c r="A985" s="16"/>
      <c r="L985" s="5"/>
    </row>
    <row r="986" spans="1:12" ht="15.75" customHeight="1">
      <c r="A986" s="16"/>
      <c r="L986" s="5"/>
    </row>
    <row r="987" spans="1:12" ht="15.75" customHeight="1">
      <c r="A987" s="16"/>
      <c r="L987" s="5"/>
    </row>
    <row r="988" spans="1:12" ht="15.75" customHeight="1">
      <c r="A988" s="16"/>
      <c r="L988" s="5"/>
    </row>
    <row r="989" spans="1:12" ht="15.75" customHeight="1">
      <c r="A989" s="16"/>
      <c r="L989" s="5"/>
    </row>
    <row r="990" spans="1:12" ht="15.75" customHeight="1">
      <c r="A990" s="16"/>
      <c r="L990" s="5"/>
    </row>
    <row r="991" spans="1:12" ht="15.75" customHeight="1">
      <c r="A991" s="16"/>
      <c r="L991" s="5"/>
    </row>
    <row r="992" spans="1:12" ht="15.75" customHeight="1">
      <c r="A992" s="16"/>
      <c r="L992" s="5"/>
    </row>
    <row r="993" spans="1:12" ht="15.75" customHeight="1">
      <c r="A993" s="16"/>
      <c r="L993" s="5"/>
    </row>
    <row r="994" spans="1:12" ht="15.75" customHeight="1">
      <c r="A994" s="16"/>
      <c r="L994" s="5"/>
    </row>
    <row r="995" spans="1:12" ht="15.75" customHeight="1">
      <c r="A995" s="16"/>
      <c r="L995" s="5"/>
    </row>
    <row r="996" spans="1:12" ht="15.75" customHeight="1">
      <c r="A996" s="16"/>
      <c r="L996" s="5"/>
    </row>
    <row r="997" spans="1:12" ht="15.75" customHeight="1">
      <c r="A997" s="16"/>
      <c r="L997" s="5"/>
    </row>
    <row r="998" spans="1:12" ht="15.75" customHeight="1">
      <c r="A998" s="16"/>
      <c r="L998" s="5"/>
    </row>
    <row r="999" spans="1:12" ht="15.75" customHeight="1">
      <c r="A999" s="16"/>
      <c r="L999" s="5"/>
    </row>
    <row r="1000" spans="1:12" ht="15.75" customHeight="1">
      <c r="A1000" s="16"/>
      <c r="L1000" s="5"/>
    </row>
    <row r="1001" spans="1:12" ht="15.75" customHeight="1">
      <c r="A1001" s="16"/>
      <c r="L1001" s="5"/>
    </row>
    <row r="1002" spans="1:12" ht="15.75" customHeight="1">
      <c r="A1002" s="16"/>
      <c r="L1002" s="5"/>
    </row>
  </sheetData>
  <conditionalFormatting sqref="M10:M53">
    <cfRule type="cellIs" dxfId="8" priority="1" operator="equal">
      <formula>"a"</formula>
    </cfRule>
  </conditionalFormatting>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C8232-0123-1147-8074-88CFA3E78750}">
  <sheetPr codeName="Sheet3"/>
  <dimension ref="B2:J64"/>
  <sheetViews>
    <sheetView workbookViewId="0">
      <selection activeCell="L24" sqref="L24"/>
    </sheetView>
  </sheetViews>
  <sheetFormatPr baseColWidth="10" defaultRowHeight="15"/>
  <cols>
    <col min="2" max="2" width="33.33203125" bestFit="1" customWidth="1"/>
    <col min="3" max="3" width="19.83203125" bestFit="1" customWidth="1"/>
    <col min="4" max="4" width="13.5" bestFit="1" customWidth="1"/>
    <col min="5" max="5" width="25" bestFit="1" customWidth="1"/>
    <col min="6" max="6" width="15.5" bestFit="1" customWidth="1"/>
    <col min="7" max="7" width="15" bestFit="1" customWidth="1"/>
    <col min="8" max="8" width="12.1640625" bestFit="1" customWidth="1"/>
    <col min="9" max="9" width="16.6640625" bestFit="1" customWidth="1"/>
    <col min="10" max="10" width="22.5" bestFit="1" customWidth="1"/>
  </cols>
  <sheetData>
    <row r="2" spans="2:10">
      <c r="B2" s="55" t="s">
        <v>100</v>
      </c>
      <c r="C2" s="54" t="s">
        <v>109</v>
      </c>
      <c r="D2" s="54" t="s">
        <v>108</v>
      </c>
      <c r="E2" s="54" t="s">
        <v>107</v>
      </c>
      <c r="F2" s="54" t="s">
        <v>106</v>
      </c>
      <c r="G2" s="54" t="s">
        <v>105</v>
      </c>
      <c r="H2" s="54" t="s">
        <v>104</v>
      </c>
      <c r="I2" s="54" t="s">
        <v>103</v>
      </c>
      <c r="J2" s="54" t="s">
        <v>102</v>
      </c>
    </row>
    <row r="3" spans="2:10">
      <c r="B3" s="54" t="s">
        <v>14</v>
      </c>
      <c r="C3" s="54">
        <v>4.2885541912552795E-7</v>
      </c>
      <c r="D3" s="54">
        <v>9.9225000000000008E-2</v>
      </c>
      <c r="E3" s="54">
        <v>9.3364000000000003E-2</v>
      </c>
      <c r="F3" s="54">
        <v>10.32</v>
      </c>
      <c r="G3" s="56">
        <v>6.5487053615621458E-4</v>
      </c>
      <c r="H3" s="54">
        <v>1.1639999999999999</v>
      </c>
      <c r="I3" s="56">
        <v>0.315</v>
      </c>
      <c r="J3" s="54">
        <v>0.82169999999999999</v>
      </c>
    </row>
    <row r="4" spans="2:10">
      <c r="B4" s="54" t="s">
        <v>22</v>
      </c>
      <c r="C4" s="54">
        <v>2.8243670689206525E-5</v>
      </c>
      <c r="D4" s="54">
        <v>0.53728900000000002</v>
      </c>
      <c r="E4" s="54">
        <v>0.12529000000000001</v>
      </c>
      <c r="F4" s="54">
        <v>83.75</v>
      </c>
      <c r="G4" s="56">
        <v>5.314477461539048E-3</v>
      </c>
      <c r="H4" s="54">
        <v>1.79</v>
      </c>
      <c r="I4" s="56">
        <v>0.73299999999999998</v>
      </c>
      <c r="J4" s="54">
        <v>1.5509999999999999</v>
      </c>
    </row>
    <row r="5" spans="2:10">
      <c r="B5" s="54" t="s">
        <v>15</v>
      </c>
      <c r="C5" s="54">
        <v>9.0601215844191121E-5</v>
      </c>
      <c r="D5" s="54">
        <v>0.25532808999999995</v>
      </c>
      <c r="E5" s="54">
        <v>9.9280000000000007E-2</v>
      </c>
      <c r="F5" s="54">
        <v>150</v>
      </c>
      <c r="G5" s="56">
        <v>9.5184670952938172E-3</v>
      </c>
      <c r="H5" s="54">
        <v>1.28</v>
      </c>
      <c r="I5" s="56">
        <v>0.50529999999999997</v>
      </c>
      <c r="J5" s="54">
        <v>14.3682</v>
      </c>
    </row>
    <row r="6" spans="2:10">
      <c r="B6" s="54" t="s">
        <v>33</v>
      </c>
      <c r="C6" s="54">
        <v>2.9594468376551787E-6</v>
      </c>
      <c r="D6" s="54">
        <v>6.2001000000000001E-2</v>
      </c>
      <c r="E6" s="54">
        <v>7.9899999999999999E-2</v>
      </c>
      <c r="F6" s="54">
        <v>27.11</v>
      </c>
      <c r="G6" s="56">
        <v>1.7203042863561024E-3</v>
      </c>
      <c r="H6" s="54">
        <v>0.9</v>
      </c>
      <c r="I6" s="56">
        <v>0.249</v>
      </c>
      <c r="J6" s="54">
        <v>0.29330000000000001</v>
      </c>
    </row>
    <row r="7" spans="2:10">
      <c r="B7" s="54" t="s">
        <v>59</v>
      </c>
      <c r="C7" s="54">
        <v>1.766285964153975E-5</v>
      </c>
      <c r="D7" s="54">
        <v>0.29106024999999996</v>
      </c>
      <c r="E7" s="54">
        <v>8.3979999999999999E-2</v>
      </c>
      <c r="F7" s="54">
        <v>66.23</v>
      </c>
      <c r="G7" s="56">
        <v>4.2027205048087305E-3</v>
      </c>
      <c r="H7" s="54">
        <v>0.98</v>
      </c>
      <c r="I7" s="56">
        <v>0.53949999999999998</v>
      </c>
      <c r="J7" s="54">
        <v>0.37419999999999998</v>
      </c>
    </row>
    <row r="8" spans="2:10">
      <c r="B8" s="54" t="s">
        <v>60</v>
      </c>
      <c r="C8" s="54">
        <v>6.8483953063080702E-6</v>
      </c>
      <c r="D8" s="54">
        <v>8.294399999999999E-2</v>
      </c>
      <c r="E8" s="54">
        <v>9.5710000000000003E-2</v>
      </c>
      <c r="F8" s="54">
        <v>41.24</v>
      </c>
      <c r="G8" s="56">
        <v>2.6169438867327801E-3</v>
      </c>
      <c r="H8" s="54">
        <v>1.21</v>
      </c>
      <c r="I8" s="56">
        <v>0.28799999999999998</v>
      </c>
      <c r="J8" s="54">
        <v>0.14050000000000001</v>
      </c>
    </row>
    <row r="9" spans="2:10">
      <c r="B9" s="54" t="s">
        <v>47</v>
      </c>
      <c r="C9" s="54">
        <v>1.006680176046568E-5</v>
      </c>
      <c r="D9" s="54">
        <v>0.145924</v>
      </c>
      <c r="E9" s="54">
        <v>0.11152000000000001</v>
      </c>
      <c r="F9" s="54">
        <v>50</v>
      </c>
      <c r="G9" s="56">
        <v>3.1728223650979389E-3</v>
      </c>
      <c r="H9" s="54">
        <v>1.52</v>
      </c>
      <c r="I9" s="56">
        <v>0.38200000000000001</v>
      </c>
      <c r="J9" s="54">
        <v>0.18990000000000001</v>
      </c>
    </row>
    <row r="10" spans="2:10">
      <c r="B10" s="54" t="s">
        <v>64</v>
      </c>
      <c r="C10" s="54">
        <v>3.1253835684819204E-5</v>
      </c>
      <c r="D10" s="54">
        <v>0.188356</v>
      </c>
      <c r="E10" s="54">
        <v>9.4689999999999996E-2</v>
      </c>
      <c r="F10" s="54">
        <v>88.1</v>
      </c>
      <c r="G10" s="56">
        <v>5.5905130073025684E-3</v>
      </c>
      <c r="H10" s="54">
        <v>1.19</v>
      </c>
      <c r="I10" s="56">
        <v>0.434</v>
      </c>
      <c r="J10" s="54">
        <v>0.33729999999999999</v>
      </c>
    </row>
    <row r="11" spans="2:10">
      <c r="B11" s="54" t="s">
        <v>20</v>
      </c>
      <c r="C11" s="54">
        <v>4.4394595763653643E-5</v>
      </c>
      <c r="D11" s="54">
        <v>7.9806249999999981E-2</v>
      </c>
      <c r="E11" s="54">
        <v>9.0100000000000013E-2</v>
      </c>
      <c r="F11" s="54">
        <v>105</v>
      </c>
      <c r="G11" s="56">
        <v>6.6629269667056717E-3</v>
      </c>
      <c r="H11" s="54">
        <v>1.1000000000000001</v>
      </c>
      <c r="I11" s="56">
        <v>0.28249999999999997</v>
      </c>
      <c r="J11" s="54">
        <v>0.3201</v>
      </c>
    </row>
    <row r="12" spans="2:10">
      <c r="B12" s="54" t="s">
        <v>9</v>
      </c>
      <c r="C12" s="54">
        <v>1.2180830130163473E-3</v>
      </c>
      <c r="D12" s="54">
        <v>7.8400000000000011E-2</v>
      </c>
      <c r="E12" s="54">
        <v>9.5200000000000007E-2</v>
      </c>
      <c r="F12" s="54">
        <v>550</v>
      </c>
      <c r="G12" s="56">
        <v>3.4901046016077332E-2</v>
      </c>
      <c r="H12" s="54">
        <v>1.2</v>
      </c>
      <c r="I12" s="56">
        <v>0.28000000000000003</v>
      </c>
      <c r="J12" s="54">
        <v>0.12520000000000001</v>
      </c>
    </row>
    <row r="13" spans="2:10">
      <c r="B13" s="54" t="s">
        <v>24</v>
      </c>
      <c r="C13" s="54">
        <v>4.0210852682935567E-5</v>
      </c>
      <c r="D13" s="54">
        <v>3.78225E-3</v>
      </c>
      <c r="E13" s="54">
        <v>3.7570000000000006E-2</v>
      </c>
      <c r="F13" s="54">
        <v>99.93</v>
      </c>
      <c r="G13" s="56">
        <v>6.3412027788847412E-3</v>
      </c>
      <c r="H13" s="54">
        <v>7.0000000000000007E-2</v>
      </c>
      <c r="I13" s="56">
        <v>6.1499999999999999E-2</v>
      </c>
      <c r="J13" s="54">
        <v>-4.2299999999999997E-2</v>
      </c>
    </row>
    <row r="14" spans="2:10">
      <c r="B14" s="54" t="s">
        <v>38</v>
      </c>
      <c r="C14" s="54">
        <v>3.9857528880090867E-5</v>
      </c>
      <c r="D14" s="54">
        <v>2.1025000000000001E-4</v>
      </c>
      <c r="E14" s="54">
        <v>7.2760000000000005E-2</v>
      </c>
      <c r="F14" s="54">
        <v>99.49</v>
      </c>
      <c r="G14" s="56">
        <v>6.3132819420718784E-3</v>
      </c>
      <c r="H14" s="54">
        <v>0.76</v>
      </c>
      <c r="I14" s="56">
        <v>1.4500000000000001E-2</v>
      </c>
      <c r="J14" s="54">
        <v>0.1399</v>
      </c>
    </row>
    <row r="15" spans="2:10">
      <c r="B15" s="54" t="s">
        <v>21</v>
      </c>
      <c r="C15" s="54">
        <v>4.7841468686437098E-5</v>
      </c>
      <c r="D15" s="54">
        <v>0.10530025000000001</v>
      </c>
      <c r="E15" s="54">
        <v>6.4090000000000008E-2</v>
      </c>
      <c r="F15" s="54">
        <v>109</v>
      </c>
      <c r="G15" s="56">
        <v>6.9167527559135071E-3</v>
      </c>
      <c r="H15" s="54">
        <v>0.59</v>
      </c>
      <c r="I15" s="56">
        <v>0.32450000000000001</v>
      </c>
      <c r="J15" s="54">
        <v>0.31659999999999999</v>
      </c>
    </row>
    <row r="16" spans="2:10">
      <c r="B16" s="54" t="s">
        <v>67</v>
      </c>
      <c r="C16" s="54">
        <v>6.2806824906865886E-5</v>
      </c>
      <c r="D16" s="54">
        <v>7.8904809999999992E-2</v>
      </c>
      <c r="E16" s="54">
        <v>9.5710000000000003E-2</v>
      </c>
      <c r="F16" s="54">
        <v>124.89</v>
      </c>
      <c r="G16" s="56">
        <v>7.9250757035416314E-3</v>
      </c>
      <c r="H16" s="54">
        <v>1.21</v>
      </c>
      <c r="I16" s="56">
        <v>0.28089999999999998</v>
      </c>
      <c r="J16" s="54">
        <v>0.3962</v>
      </c>
    </row>
    <row r="17" spans="2:10">
      <c r="B17" s="54" t="s">
        <v>16</v>
      </c>
      <c r="C17" s="54">
        <v>4.7850247340244292E-5</v>
      </c>
      <c r="D17" s="54">
        <v>1.7609290000000003E-2</v>
      </c>
      <c r="E17" s="54">
        <v>0.10897000000000001</v>
      </c>
      <c r="F17" s="54">
        <v>109.01</v>
      </c>
      <c r="G17" s="56">
        <v>6.9173873203865269E-3</v>
      </c>
      <c r="H17" s="54">
        <v>1.47</v>
      </c>
      <c r="I17" s="56">
        <v>0.13270000000000001</v>
      </c>
      <c r="J17" s="54">
        <v>0.25869999999999999</v>
      </c>
    </row>
    <row r="18" spans="2:10">
      <c r="B18" s="54" t="s">
        <v>35</v>
      </c>
      <c r="C18" s="54">
        <v>4.0267207041862718E-5</v>
      </c>
      <c r="D18" s="54">
        <v>3.1136400000000004E-3</v>
      </c>
      <c r="E18" s="54">
        <v>0.10132000000000001</v>
      </c>
      <c r="F18" s="54">
        <v>100</v>
      </c>
      <c r="G18" s="56">
        <v>6.3456447301958778E-3</v>
      </c>
      <c r="H18" s="54">
        <v>1.32</v>
      </c>
      <c r="I18" s="56">
        <v>5.5800000000000002E-2</v>
      </c>
      <c r="J18" s="54">
        <v>0.25969999999999999</v>
      </c>
    </row>
    <row r="19" spans="2:10">
      <c r="B19" s="54" t="s">
        <v>62</v>
      </c>
      <c r="C19" s="54">
        <v>6.7008659238363747E-5</v>
      </c>
      <c r="D19" s="54">
        <v>4.2771600000000003E-3</v>
      </c>
      <c r="E19" s="54">
        <v>6.7659999999999998E-2</v>
      </c>
      <c r="F19" s="54">
        <v>129</v>
      </c>
      <c r="G19" s="56">
        <v>8.1858817019526825E-3</v>
      </c>
      <c r="H19" s="54">
        <v>0.66</v>
      </c>
      <c r="I19" s="56">
        <v>6.54E-2</v>
      </c>
      <c r="J19" s="54">
        <v>0.2767</v>
      </c>
    </row>
    <row r="20" spans="2:10">
      <c r="B20" s="54" t="s">
        <v>10</v>
      </c>
      <c r="C20" s="54">
        <v>7.8935001022694694E-5</v>
      </c>
      <c r="D20" s="54">
        <v>5.1839999999999994E-3</v>
      </c>
      <c r="E20" s="54">
        <v>8.9590000000000003E-2</v>
      </c>
      <c r="F20" s="54">
        <v>140.01</v>
      </c>
      <c r="G20" s="56">
        <v>8.8845371867472475E-3</v>
      </c>
      <c r="H20" s="54">
        <v>1.0900000000000001</v>
      </c>
      <c r="I20" s="56">
        <v>7.1999999999999995E-2</v>
      </c>
      <c r="J20" s="54">
        <v>0.1628</v>
      </c>
    </row>
    <row r="21" spans="2:10">
      <c r="B21" s="54" t="s">
        <v>30</v>
      </c>
      <c r="C21" s="54">
        <v>4.0267207041862718E-5</v>
      </c>
      <c r="D21" s="54">
        <v>6.018844444444444E-2</v>
      </c>
      <c r="E21" s="54">
        <v>9.7240000000000007E-2</v>
      </c>
      <c r="F21" s="54">
        <v>100</v>
      </c>
      <c r="G21" s="56">
        <v>6.3456447301958778E-3</v>
      </c>
      <c r="H21" s="54">
        <v>1.24</v>
      </c>
      <c r="I21" s="56">
        <v>0.24533333333333332</v>
      </c>
      <c r="J21" s="54">
        <v>0.23780000000000001</v>
      </c>
    </row>
    <row r="22" spans="2:10">
      <c r="B22" s="54" t="s">
        <v>25</v>
      </c>
      <c r="C22" s="54">
        <v>4.8732179708875182E-5</v>
      </c>
      <c r="D22" s="54">
        <v>3.8514062500000001E-2</v>
      </c>
      <c r="E22" s="54">
        <v>6.8510000000000015E-2</v>
      </c>
      <c r="F22" s="54">
        <v>110.01</v>
      </c>
      <c r="G22" s="56">
        <v>6.9808437676884862E-3</v>
      </c>
      <c r="H22" s="54">
        <v>0.67666666666666675</v>
      </c>
      <c r="I22" s="56">
        <v>0.19625000000000001</v>
      </c>
      <c r="J22" s="54">
        <v>-1.8E-3</v>
      </c>
    </row>
    <row r="23" spans="2:10">
      <c r="B23" s="54" t="s">
        <v>39</v>
      </c>
      <c r="C23" s="54">
        <v>9.0601215844191121E-5</v>
      </c>
      <c r="D23" s="54">
        <v>5.7912099999999998E-3</v>
      </c>
      <c r="E23" s="54">
        <v>6.8170000000000008E-2</v>
      </c>
      <c r="F23" s="54">
        <v>150</v>
      </c>
      <c r="G23" s="56">
        <v>9.5184670952938172E-3</v>
      </c>
      <c r="H23" s="54">
        <v>0.67</v>
      </c>
      <c r="I23" s="56">
        <v>7.6100000000000001E-2</v>
      </c>
      <c r="J23" s="54">
        <v>0.23269999999999999</v>
      </c>
    </row>
    <row r="24" spans="2:10">
      <c r="B24" s="54" t="s">
        <v>69</v>
      </c>
      <c r="C24" s="54">
        <v>3.0625562962899909E-5</v>
      </c>
      <c r="D24" s="54">
        <v>0.34539129000000002</v>
      </c>
      <c r="E24" s="54">
        <v>-1.1899999999999966E-3</v>
      </c>
      <c r="F24" s="54">
        <v>87.21</v>
      </c>
      <c r="G24" s="56">
        <v>5.5340367692038248E-3</v>
      </c>
      <c r="H24" s="54">
        <v>-0.69</v>
      </c>
      <c r="I24" s="56">
        <v>0.5877</v>
      </c>
      <c r="J24" s="54">
        <v>5</v>
      </c>
    </row>
    <row r="25" spans="2:10">
      <c r="B25" s="54" t="s">
        <v>44</v>
      </c>
      <c r="C25" s="54">
        <v>1.6024842449385206E-4</v>
      </c>
      <c r="D25" s="54">
        <v>1.2673599999999999E-3</v>
      </c>
      <c r="E25" s="54">
        <v>0.10336000000000001</v>
      </c>
      <c r="F25" s="54">
        <v>199.49</v>
      </c>
      <c r="G25" s="56">
        <v>1.2658926672267758E-2</v>
      </c>
      <c r="H25" s="54">
        <v>1.36</v>
      </c>
      <c r="I25" s="56">
        <v>3.56E-2</v>
      </c>
      <c r="J25" s="54">
        <v>1.5809</v>
      </c>
    </row>
    <row r="26" spans="2:10">
      <c r="B26" s="54" t="s">
        <v>26</v>
      </c>
      <c r="C26" s="54">
        <v>5.7984778140282304E-5</v>
      </c>
      <c r="D26" s="54">
        <v>0.20250000000000001</v>
      </c>
      <c r="E26" s="54">
        <v>5.1850000000000007E-2</v>
      </c>
      <c r="F26" s="54">
        <v>120</v>
      </c>
      <c r="G26" s="56">
        <v>7.6147736762350532E-3</v>
      </c>
      <c r="H26" s="54">
        <v>0.35</v>
      </c>
      <c r="I26" s="56">
        <v>0.45</v>
      </c>
      <c r="J26" s="54">
        <v>0.39950000000000002</v>
      </c>
    </row>
    <row r="27" spans="2:10">
      <c r="B27" s="54" t="s">
        <v>42</v>
      </c>
      <c r="C27" s="54">
        <v>8.1652876026520215E-5</v>
      </c>
      <c r="D27" s="54">
        <v>6.8591610000000011E-2</v>
      </c>
      <c r="E27" s="54">
        <v>8.1430000000000002E-2</v>
      </c>
      <c r="F27" s="54">
        <v>142.4</v>
      </c>
      <c r="G27" s="56">
        <v>9.03619809579893E-3</v>
      </c>
      <c r="H27" s="54">
        <v>0.93</v>
      </c>
      <c r="I27" s="56">
        <v>0.26190000000000002</v>
      </c>
      <c r="J27" s="54">
        <v>0.18379999999999999</v>
      </c>
    </row>
    <row r="28" spans="2:10">
      <c r="B28" s="54" t="s">
        <v>68</v>
      </c>
      <c r="C28" s="54">
        <v>1.3720433946170049E-4</v>
      </c>
      <c r="D28" s="54">
        <v>0.25</v>
      </c>
      <c r="E28" s="54">
        <v>3.0940000000000002E-2</v>
      </c>
      <c r="F28" s="54">
        <v>184.59</v>
      </c>
      <c r="G28" s="56">
        <v>1.1713425607468572E-2</v>
      </c>
      <c r="H28" s="54">
        <v>-0.06</v>
      </c>
      <c r="I28" s="56">
        <v>0.5</v>
      </c>
      <c r="J28" s="54">
        <v>0.64419999999999999</v>
      </c>
    </row>
    <row r="29" spans="2:10">
      <c r="B29" s="54" t="s">
        <v>27</v>
      </c>
      <c r="C29" s="54">
        <v>2.3570394984690976E-4</v>
      </c>
      <c r="D29" s="54">
        <v>0.2236817025</v>
      </c>
      <c r="E29" s="54">
        <v>6.8680000000000005E-2</v>
      </c>
      <c r="F29" s="54">
        <v>241.94</v>
      </c>
      <c r="G29" s="56">
        <v>1.5352652860235906E-2</v>
      </c>
      <c r="H29" s="54">
        <v>0.68</v>
      </c>
      <c r="I29" s="56">
        <v>0.47294999999999998</v>
      </c>
      <c r="J29" s="54">
        <v>0.3372</v>
      </c>
    </row>
    <row r="30" spans="2:10">
      <c r="B30" s="54" t="s">
        <v>54</v>
      </c>
      <c r="C30" s="54">
        <v>1.2845855980233298E-4</v>
      </c>
      <c r="D30" s="54">
        <v>3.2399999999999998E-2</v>
      </c>
      <c r="E30" s="54">
        <v>7.8369999999999995E-2</v>
      </c>
      <c r="F30" s="54">
        <v>178.61</v>
      </c>
      <c r="G30" s="56">
        <v>1.1333956052602859E-2</v>
      </c>
      <c r="H30" s="54">
        <v>0.87</v>
      </c>
      <c r="I30" s="56">
        <v>0.18</v>
      </c>
      <c r="J30" s="54">
        <v>0.1016</v>
      </c>
    </row>
    <row r="31" spans="2:10">
      <c r="B31" s="54" t="s">
        <v>58</v>
      </c>
      <c r="C31" s="54">
        <v>1.3781451610077517E-4</v>
      </c>
      <c r="D31" s="54">
        <v>0.17639999999999997</v>
      </c>
      <c r="E31" s="54">
        <v>0.12274</v>
      </c>
      <c r="F31" s="54">
        <v>185</v>
      </c>
      <c r="G31" s="56">
        <v>1.1739442750862375E-2</v>
      </c>
      <c r="H31" s="54">
        <v>1.74</v>
      </c>
      <c r="I31" s="56">
        <v>0.42</v>
      </c>
      <c r="J31" s="54">
        <v>0.33400000000000002</v>
      </c>
    </row>
    <row r="32" spans="2:10">
      <c r="B32" s="54" t="s">
        <v>37</v>
      </c>
      <c r="C32" s="54">
        <v>5.7569965104268492E-5</v>
      </c>
      <c r="D32" s="54">
        <v>0.22089999999999999</v>
      </c>
      <c r="E32" s="54">
        <v>0.14773000000000003</v>
      </c>
      <c r="F32" s="54">
        <v>119.57</v>
      </c>
      <c r="G32" s="56">
        <v>7.5874874038952111E-3</v>
      </c>
      <c r="H32" s="54">
        <v>2.23</v>
      </c>
      <c r="I32" s="56">
        <v>0.47</v>
      </c>
      <c r="J32" s="54">
        <v>1.3899999999999999E-2</v>
      </c>
    </row>
    <row r="33" spans="2:10">
      <c r="B33" s="54" t="s">
        <v>51</v>
      </c>
      <c r="C33" s="54">
        <v>1.5765633095664699E-4</v>
      </c>
      <c r="D33" s="54">
        <v>0.12959999999999999</v>
      </c>
      <c r="E33" s="54">
        <v>9.7750000000000004E-2</v>
      </c>
      <c r="F33" s="54">
        <v>197.87</v>
      </c>
      <c r="G33" s="56">
        <v>1.2556127227638584E-2</v>
      </c>
      <c r="H33" s="54">
        <v>1.25</v>
      </c>
      <c r="I33" s="56">
        <v>0.36</v>
      </c>
      <c r="J33" s="54">
        <v>0.2223</v>
      </c>
    </row>
    <row r="34" spans="2:10">
      <c r="B34" s="54" t="s">
        <v>29</v>
      </c>
      <c r="C34" s="54">
        <v>2.0387085629527087E-4</v>
      </c>
      <c r="D34" s="54">
        <v>2.5600000000000001E-2</v>
      </c>
      <c r="E34" s="54">
        <v>5.8990000000000001E-2</v>
      </c>
      <c r="F34" s="54">
        <v>225.01</v>
      </c>
      <c r="G34" s="56">
        <v>1.4278335207413744E-2</v>
      </c>
      <c r="H34" s="54">
        <v>0.49</v>
      </c>
      <c r="I34" s="56">
        <v>0.16</v>
      </c>
      <c r="J34" s="54">
        <v>0.23100000000000001</v>
      </c>
    </row>
    <row r="35" spans="2:10">
      <c r="B35" s="54" t="s">
        <v>18</v>
      </c>
      <c r="C35" s="54">
        <v>1.5150279301780642E-4</v>
      </c>
      <c r="D35" s="54">
        <v>0.13689999999999999</v>
      </c>
      <c r="E35" s="54">
        <v>0.10489</v>
      </c>
      <c r="F35" s="54">
        <v>193.97</v>
      </c>
      <c r="G35" s="56">
        <v>1.2308647083160944E-2</v>
      </c>
      <c r="H35" s="54">
        <v>1.39</v>
      </c>
      <c r="I35" s="56">
        <v>0.37</v>
      </c>
      <c r="J35" s="54">
        <v>0.41499999999999998</v>
      </c>
    </row>
    <row r="36" spans="2:10">
      <c r="B36" s="54" t="s">
        <v>41</v>
      </c>
      <c r="C36" s="54">
        <v>1.3048024741284234E-4</v>
      </c>
      <c r="D36" s="54">
        <v>0.16809999999999997</v>
      </c>
      <c r="E36" s="54">
        <v>0.10948000000000001</v>
      </c>
      <c r="F36" s="54">
        <v>180.01</v>
      </c>
      <c r="G36" s="56">
        <v>1.14227950788256E-2</v>
      </c>
      <c r="H36" s="54">
        <v>1.48</v>
      </c>
      <c r="I36" s="56">
        <v>0.41</v>
      </c>
      <c r="J36" s="54">
        <v>0.21199999999999999</v>
      </c>
    </row>
    <row r="37" spans="2:10">
      <c r="B37" s="54" t="s">
        <v>13</v>
      </c>
      <c r="C37" s="54">
        <v>1.9556713124282515E-4</v>
      </c>
      <c r="D37" s="54">
        <v>0.12959999999999999</v>
      </c>
      <c r="E37" s="54">
        <v>7.8880000000000006E-2</v>
      </c>
      <c r="F37" s="54">
        <v>220.38</v>
      </c>
      <c r="G37" s="56">
        <v>1.3984531856405675E-2</v>
      </c>
      <c r="H37" s="54">
        <v>0.88</v>
      </c>
      <c r="I37" s="56">
        <v>0.36</v>
      </c>
      <c r="J37" s="54">
        <v>0.27100000000000002</v>
      </c>
    </row>
    <row r="38" spans="2:10">
      <c r="B38" s="54" t="s">
        <v>11</v>
      </c>
      <c r="C38" s="54">
        <v>1.6108493545293967E-4</v>
      </c>
      <c r="D38" s="54">
        <v>7.8400000000000011E-2</v>
      </c>
      <c r="E38" s="54">
        <v>6.8680000000000005E-2</v>
      </c>
      <c r="F38" s="54">
        <v>200.01</v>
      </c>
      <c r="G38" s="56">
        <v>1.2691924024864775E-2</v>
      </c>
      <c r="H38" s="54">
        <v>0.68</v>
      </c>
      <c r="I38" s="56">
        <v>0.28000000000000003</v>
      </c>
      <c r="J38" s="54">
        <v>5.3400000000000003E-2</v>
      </c>
    </row>
    <row r="39" spans="2:10">
      <c r="B39" s="54" t="s">
        <v>48</v>
      </c>
      <c r="C39" s="54">
        <v>2.2050596433399115E-4</v>
      </c>
      <c r="D39" s="54">
        <v>0.27040000000000003</v>
      </c>
      <c r="E39" s="54">
        <v>8.7550000000000017E-2</v>
      </c>
      <c r="F39" s="54">
        <v>234.01</v>
      </c>
      <c r="G39" s="56">
        <v>1.4849443233131374E-2</v>
      </c>
      <c r="H39" s="54">
        <v>1.05</v>
      </c>
      <c r="I39" s="56">
        <v>0.52</v>
      </c>
      <c r="J39" s="54">
        <v>0.36449999999999999</v>
      </c>
    </row>
    <row r="40" spans="2:10">
      <c r="B40" s="54" t="s">
        <v>55</v>
      </c>
      <c r="C40" s="54">
        <v>2.2124156526955984E-4</v>
      </c>
      <c r="D40" s="54">
        <v>0.10890000000000001</v>
      </c>
      <c r="E40" s="54">
        <v>7.4800000000000005E-2</v>
      </c>
      <c r="F40" s="54">
        <v>234.4</v>
      </c>
      <c r="G40" s="56">
        <v>1.4874191247579138E-2</v>
      </c>
      <c r="H40" s="54">
        <v>0.8</v>
      </c>
      <c r="I40" s="56">
        <v>0.33</v>
      </c>
      <c r="J40" s="54">
        <v>0.34310000000000002</v>
      </c>
    </row>
    <row r="41" spans="2:10">
      <c r="B41" s="54" t="s">
        <v>56</v>
      </c>
      <c r="C41" s="54">
        <v>1.704468496873358E-4</v>
      </c>
      <c r="D41" s="54">
        <v>0.17413929</v>
      </c>
      <c r="E41" s="54">
        <v>0.10336000000000001</v>
      </c>
      <c r="F41" s="54">
        <v>205.74</v>
      </c>
      <c r="G41" s="56">
        <v>1.3055529467904999E-2</v>
      </c>
      <c r="H41" s="54">
        <v>1.36</v>
      </c>
      <c r="I41" s="56">
        <v>0.4173</v>
      </c>
      <c r="J41" s="54">
        <v>0.43109999999999998</v>
      </c>
    </row>
    <row r="42" spans="2:10">
      <c r="B42" s="54" t="s">
        <v>61</v>
      </c>
      <c r="C42" s="54">
        <v>2.4831896234501837E-4</v>
      </c>
      <c r="D42" s="54">
        <v>8.1168009999999999E-2</v>
      </c>
      <c r="E42" s="54">
        <v>7.0720000000000005E-2</v>
      </c>
      <c r="F42" s="54">
        <v>248.33</v>
      </c>
      <c r="G42" s="56">
        <v>1.5758139558495424E-2</v>
      </c>
      <c r="H42" s="54">
        <v>0.72</v>
      </c>
      <c r="I42" s="56">
        <v>0.28489999999999999</v>
      </c>
      <c r="J42" s="54">
        <v>0.30680000000000002</v>
      </c>
    </row>
    <row r="43" spans="2:10">
      <c r="B43" s="54" t="s">
        <v>63</v>
      </c>
      <c r="C43" s="54">
        <v>2.0597831627815601E-4</v>
      </c>
      <c r="D43" s="54">
        <v>0.14379264</v>
      </c>
      <c r="E43" s="54">
        <v>8.3470000000000003E-2</v>
      </c>
      <c r="F43" s="54">
        <v>226.17</v>
      </c>
      <c r="G43" s="56">
        <v>1.4351944686284016E-2</v>
      </c>
      <c r="H43" s="54">
        <v>0.97</v>
      </c>
      <c r="I43" s="56">
        <v>0.37919999999999998</v>
      </c>
      <c r="J43" s="54">
        <v>9.4799999999999995E-2</v>
      </c>
    </row>
    <row r="44" spans="2:10">
      <c r="B44" s="54" t="s">
        <v>49</v>
      </c>
      <c r="C44" s="54">
        <v>2.0439670534935854E-4</v>
      </c>
      <c r="D44" s="54">
        <v>7.6396959999999986E-2</v>
      </c>
      <c r="E44" s="54">
        <v>9.3670000000000003E-2</v>
      </c>
      <c r="F44" s="54">
        <v>225.3</v>
      </c>
      <c r="G44" s="56">
        <v>1.4296737577131314E-2</v>
      </c>
      <c r="H44" s="54">
        <v>1.17</v>
      </c>
      <c r="I44" s="56">
        <v>0.27639999999999998</v>
      </c>
      <c r="J44" s="54">
        <v>6.3399999999999998E-2</v>
      </c>
    </row>
    <row r="45" spans="2:10">
      <c r="B45" s="54" t="s">
        <v>34</v>
      </c>
      <c r="C45" s="54">
        <v>3.3864721122206542E-4</v>
      </c>
      <c r="D45" s="54">
        <v>2.7522809999999998E-2</v>
      </c>
      <c r="E45" s="54">
        <v>4.5220000000000003E-2</v>
      </c>
      <c r="F45" s="54">
        <v>290</v>
      </c>
      <c r="G45" s="56">
        <v>1.8402369717568045E-2</v>
      </c>
      <c r="H45" s="54">
        <v>0.22</v>
      </c>
      <c r="I45" s="56">
        <v>0.16589999999999999</v>
      </c>
      <c r="J45" s="54">
        <v>-7.7999999999999996E-3</v>
      </c>
    </row>
    <row r="46" spans="2:10">
      <c r="B46" s="54" t="s">
        <v>40</v>
      </c>
      <c r="C46" s="54">
        <v>8.3869595438304436E-5</v>
      </c>
      <c r="D46" s="54">
        <v>0.20268003999999998</v>
      </c>
      <c r="E46" s="54">
        <v>9.8770000000000011E-2</v>
      </c>
      <c r="F46" s="54">
        <v>144.32</v>
      </c>
      <c r="G46" s="56">
        <v>9.1580344746186905E-3</v>
      </c>
      <c r="H46" s="54">
        <v>1.27</v>
      </c>
      <c r="I46" s="56">
        <v>0.45019999999999999</v>
      </c>
      <c r="J46" s="54">
        <v>-0.12429999999999999</v>
      </c>
    </row>
    <row r="47" spans="2:10">
      <c r="B47" s="54" t="s">
        <v>57</v>
      </c>
      <c r="C47" s="54">
        <v>2.2026103622845451E-4</v>
      </c>
      <c r="D47" s="54">
        <v>8.9460809999999988E-2</v>
      </c>
      <c r="E47" s="54">
        <v>7.5819999999999999E-2</v>
      </c>
      <c r="F47" s="54">
        <v>233.88</v>
      </c>
      <c r="G47" s="56">
        <v>1.4841193894982119E-2</v>
      </c>
      <c r="H47" s="54">
        <v>0.82</v>
      </c>
      <c r="I47" s="56">
        <v>0.29909999999999998</v>
      </c>
      <c r="J47" s="54">
        <v>6.4899999999999999E-2</v>
      </c>
    </row>
    <row r="48" spans="2:10">
      <c r="B48" s="54" t="s">
        <v>65</v>
      </c>
      <c r="C48" s="54">
        <v>2.8822321165475161E-4</v>
      </c>
      <c r="D48" s="54">
        <v>2.8123289999999995E-2</v>
      </c>
      <c r="E48" s="54">
        <v>8.1940000000000013E-2</v>
      </c>
      <c r="F48" s="54">
        <v>267.54000000000002</v>
      </c>
      <c r="G48" s="56">
        <v>1.6977137911166052E-2</v>
      </c>
      <c r="H48" s="54">
        <v>0.94</v>
      </c>
      <c r="I48" s="56">
        <v>0.16769999999999999</v>
      </c>
      <c r="J48" s="54">
        <v>-5.4000000000000003E-3</v>
      </c>
    </row>
    <row r="49" spans="2:10">
      <c r="B49" s="54" t="s">
        <v>66</v>
      </c>
      <c r="C49" s="54">
        <v>3.6700986144127889E-4</v>
      </c>
      <c r="D49" s="54">
        <v>4.5156249999999995E-2</v>
      </c>
      <c r="E49" s="54">
        <v>8.7040000000000006E-2</v>
      </c>
      <c r="F49" s="54">
        <v>301.89999999999998</v>
      </c>
      <c r="G49" s="56">
        <v>1.9157501440461355E-2</v>
      </c>
      <c r="H49" s="54">
        <v>1.04</v>
      </c>
      <c r="I49" s="56">
        <v>0.21249999999999999</v>
      </c>
      <c r="J49" s="54">
        <v>1.8599999999999998E-2</v>
      </c>
    </row>
    <row r="50" spans="2:10">
      <c r="B50" s="54" t="s">
        <v>32</v>
      </c>
      <c r="C50" s="54">
        <v>2.4718032129675873E-4</v>
      </c>
      <c r="D50" s="54">
        <v>9.3269160000000004E-2</v>
      </c>
      <c r="E50" s="54">
        <v>6.4600000000000005E-2</v>
      </c>
      <c r="F50" s="54">
        <v>247.76</v>
      </c>
      <c r="G50" s="56">
        <v>1.5721969383533308E-2</v>
      </c>
      <c r="H50" s="54">
        <v>0.6</v>
      </c>
      <c r="I50" s="56">
        <v>0.3054</v>
      </c>
      <c r="J50" s="54">
        <v>-7.6E-3</v>
      </c>
    </row>
    <row r="51" spans="2:10">
      <c r="B51" s="54" t="s">
        <v>52</v>
      </c>
      <c r="C51" s="54">
        <v>5.5993327175540646E-4</v>
      </c>
      <c r="D51" s="54">
        <v>0.14691888999999997</v>
      </c>
      <c r="E51" s="54">
        <v>0.11152000000000001</v>
      </c>
      <c r="F51" s="54">
        <v>372.9</v>
      </c>
      <c r="G51" s="56">
        <v>2.3662909198900427E-2</v>
      </c>
      <c r="H51" s="54">
        <v>1.52</v>
      </c>
      <c r="I51" s="56">
        <v>0.38329999999999997</v>
      </c>
      <c r="J51" s="54">
        <v>0.3896</v>
      </c>
    </row>
    <row r="52" spans="2:10">
      <c r="B52" s="54" t="s">
        <v>53</v>
      </c>
      <c r="C52" s="54">
        <v>6.8949715793492508E-4</v>
      </c>
      <c r="D52" s="54">
        <v>7.1931239999999994E-2</v>
      </c>
      <c r="E52" s="54">
        <v>7.9899999999999999E-2</v>
      </c>
      <c r="F52" s="54">
        <v>413.8</v>
      </c>
      <c r="G52" s="56">
        <v>2.6258277893550543E-2</v>
      </c>
      <c r="H52" s="54">
        <v>0.9</v>
      </c>
      <c r="I52" s="56">
        <v>0.26819999999999999</v>
      </c>
      <c r="J52" s="54">
        <v>3.0000000000000001E-3</v>
      </c>
    </row>
    <row r="53" spans="2:10">
      <c r="B53" s="54" t="s">
        <v>12</v>
      </c>
      <c r="C53" s="54">
        <v>3.6385593244972502E-4</v>
      </c>
      <c r="D53" s="54">
        <v>3.4720111111111104E-2</v>
      </c>
      <c r="E53" s="54">
        <v>0.10030000000000001</v>
      </c>
      <c r="F53" s="54">
        <v>300.60000000000002</v>
      </c>
      <c r="G53" s="56">
        <v>1.907500805896881E-2</v>
      </c>
      <c r="H53" s="54">
        <v>1.3</v>
      </c>
      <c r="I53" s="56">
        <v>0.18633333333333332</v>
      </c>
      <c r="J53" s="54">
        <v>1.95E-2</v>
      </c>
    </row>
    <row r="54" spans="2:10">
      <c r="B54" s="54" t="s">
        <v>23</v>
      </c>
      <c r="C54" s="54">
        <v>5.51491084327766E-3</v>
      </c>
      <c r="D54" s="54">
        <v>0.11751183999999999</v>
      </c>
      <c r="E54" s="54">
        <v>7.4800000000000005E-2</v>
      </c>
      <c r="F54" s="54">
        <v>1170.29</v>
      </c>
      <c r="G54" s="56">
        <v>7.4262445713009342E-2</v>
      </c>
      <c r="H54" s="54">
        <v>0.8</v>
      </c>
      <c r="I54" s="56">
        <v>0.34279999999999999</v>
      </c>
      <c r="J54" s="54">
        <v>0.1222</v>
      </c>
    </row>
    <row r="55" spans="2:10">
      <c r="B55" s="54" t="s">
        <v>43</v>
      </c>
      <c r="C55" s="54">
        <v>7.9231051730016381E-4</v>
      </c>
      <c r="D55" s="54">
        <v>8.179599999999998E-2</v>
      </c>
      <c r="E55" s="54">
        <v>6.4600000000000005E-2</v>
      </c>
      <c r="F55" s="54">
        <v>443.58</v>
      </c>
      <c r="G55" s="56">
        <v>2.8148010894202876E-2</v>
      </c>
      <c r="H55" s="54">
        <v>0.6</v>
      </c>
      <c r="I55" s="56">
        <v>0.28599999999999998</v>
      </c>
      <c r="J55" s="54">
        <v>0.25580000000000003</v>
      </c>
    </row>
    <row r="56" spans="2:10">
      <c r="B56" s="54" t="s">
        <v>50</v>
      </c>
      <c r="C56" s="54">
        <v>2.2248623365907823E-3</v>
      </c>
      <c r="D56" s="54">
        <v>0.12249999999999998</v>
      </c>
      <c r="E56" s="54">
        <v>0.10132000000000001</v>
      </c>
      <c r="F56" s="54">
        <v>743.32</v>
      </c>
      <c r="G56" s="56">
        <v>4.7168446408492007E-2</v>
      </c>
      <c r="H56" s="54">
        <v>1.32</v>
      </c>
      <c r="I56" s="56">
        <v>0.35</v>
      </c>
      <c r="J56" s="54">
        <v>0.4819</v>
      </c>
    </row>
    <row r="57" spans="2:10">
      <c r="B57" s="54" t="s">
        <v>28</v>
      </c>
      <c r="C57" s="54">
        <v>5.7638945487566856E-4</v>
      </c>
      <c r="D57" s="54">
        <v>0.10890000000000001</v>
      </c>
      <c r="E57" s="54">
        <v>0.10820500000000001</v>
      </c>
      <c r="F57" s="54">
        <v>378.34</v>
      </c>
      <c r="G57" s="56">
        <v>2.4008112272223082E-2</v>
      </c>
      <c r="H57" s="54">
        <v>1.4550000000000001</v>
      </c>
      <c r="I57" s="56">
        <v>0.33</v>
      </c>
      <c r="J57" s="54">
        <v>0.1021</v>
      </c>
    </row>
    <row r="58" spans="2:10">
      <c r="B58" s="54" t="s">
        <v>45</v>
      </c>
      <c r="C58" s="54">
        <v>1.4935322940163511E-3</v>
      </c>
      <c r="D58" s="54">
        <v>4.8399999999999999E-2</v>
      </c>
      <c r="E58" s="54">
        <v>7.1230000000000002E-2</v>
      </c>
      <c r="F58" s="54">
        <v>609.02</v>
      </c>
      <c r="G58" s="56">
        <v>3.8646245535838938E-2</v>
      </c>
      <c r="H58" s="54">
        <v>0.73</v>
      </c>
      <c r="I58" s="56">
        <v>0.22</v>
      </c>
      <c r="J58" s="54">
        <v>0.25600000000000001</v>
      </c>
    </row>
    <row r="59" spans="2:10">
      <c r="B59" s="54" t="s">
        <v>46</v>
      </c>
      <c r="C59" s="54">
        <v>9.1458301896457704E-4</v>
      </c>
      <c r="D59" s="54">
        <v>0.21160000000000001</v>
      </c>
      <c r="E59" s="54">
        <v>0.10183000000000002</v>
      </c>
      <c r="F59" s="54">
        <v>476.58</v>
      </c>
      <c r="G59" s="56">
        <v>3.0242073655167515E-2</v>
      </c>
      <c r="H59" s="54">
        <v>1.33</v>
      </c>
      <c r="I59" s="56">
        <v>0.46</v>
      </c>
      <c r="J59" s="54">
        <v>0.37759999999999999</v>
      </c>
    </row>
    <row r="60" spans="2:10">
      <c r="B60" s="54" t="s">
        <v>36</v>
      </c>
      <c r="C60" s="54">
        <v>7.7451413723748225E-4</v>
      </c>
      <c r="D60" s="54">
        <v>0.18688329000000001</v>
      </c>
      <c r="E60" s="54">
        <v>0.10540000000000001</v>
      </c>
      <c r="F60" s="54">
        <v>438.57</v>
      </c>
      <c r="G60" s="56">
        <v>2.7830094093220063E-2</v>
      </c>
      <c r="H60" s="54">
        <v>1.4</v>
      </c>
      <c r="I60" s="56">
        <v>0.43230000000000002</v>
      </c>
      <c r="J60" s="54">
        <v>0.1391</v>
      </c>
    </row>
    <row r="61" spans="2:10">
      <c r="B61" s="54" t="s">
        <v>31</v>
      </c>
      <c r="C61" s="54">
        <v>2.8886692499827992E-3</v>
      </c>
      <c r="D61" s="54">
        <v>0.13133375999999999</v>
      </c>
      <c r="E61" s="54">
        <v>0.10030000000000001</v>
      </c>
      <c r="F61" s="54">
        <v>846.98</v>
      </c>
      <c r="G61" s="56">
        <v>5.3746341735813045E-2</v>
      </c>
      <c r="H61" s="54">
        <v>1.3</v>
      </c>
      <c r="I61" s="56">
        <v>0.3624</v>
      </c>
      <c r="J61" s="54">
        <v>0.2727</v>
      </c>
    </row>
    <row r="62" spans="2:10">
      <c r="B62" s="54" t="s">
        <v>17</v>
      </c>
      <c r="C62" s="54">
        <v>2.5259445039132948E-3</v>
      </c>
      <c r="D62" s="54">
        <v>2.8900000000000006E-2</v>
      </c>
      <c r="E62" s="54">
        <v>8.5000000000000006E-2</v>
      </c>
      <c r="F62" s="54">
        <v>792.02</v>
      </c>
      <c r="G62" s="56">
        <v>5.0258775392097395E-2</v>
      </c>
      <c r="H62" s="54">
        <v>1</v>
      </c>
      <c r="I62" s="56">
        <v>0.17</v>
      </c>
      <c r="J62" s="54">
        <v>9.2899999999999996E-2</v>
      </c>
    </row>
    <row r="63" spans="2:10">
      <c r="B63" s="54" t="s">
        <v>19</v>
      </c>
      <c r="C63" s="54">
        <v>3.1292870815993602E-3</v>
      </c>
      <c r="D63" s="54">
        <v>0.13235044000000001</v>
      </c>
      <c r="E63" s="54">
        <v>8.7550000000000017E-2</v>
      </c>
      <c r="F63" s="54">
        <v>881.55</v>
      </c>
      <c r="G63" s="56">
        <v>5.5940031119041757E-2</v>
      </c>
      <c r="H63" s="54">
        <v>1.05</v>
      </c>
      <c r="I63" s="56">
        <v>0.36380000000000001</v>
      </c>
      <c r="J63" s="54">
        <v>0.37730000000000002</v>
      </c>
    </row>
    <row r="64" spans="2:10">
      <c r="B64" s="54" t="s">
        <v>101</v>
      </c>
      <c r="C64" s="54">
        <v>2.9346715749118839E-2</v>
      </c>
      <c r="D64" s="54">
        <v>7.0972957505555554</v>
      </c>
      <c r="E64" s="54">
        <v>5.2021190000000006</v>
      </c>
      <c r="F64" s="54">
        <v>15846.05</v>
      </c>
      <c r="G64" s="56">
        <v>1.0055340367692038</v>
      </c>
      <c r="H64" s="54">
        <v>61.33566666666664</v>
      </c>
      <c r="I64" s="56">
        <v>18.815166666666673</v>
      </c>
      <c r="J64" s="54">
        <v>35.190000000000012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Assets</vt:lpstr>
      <vt:lpstr>Summary</vt:lpstr>
      <vt:lpstr>Dinamic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JAIME.RUIZMARIN</cp:lastModifiedBy>
  <dcterms:created xsi:type="dcterms:W3CDTF">2026-03-29T01:54:06Z</dcterms:created>
  <dcterms:modified xsi:type="dcterms:W3CDTF">2026-03-29T19:37:24Z</dcterms:modified>
</cp:coreProperties>
</file>